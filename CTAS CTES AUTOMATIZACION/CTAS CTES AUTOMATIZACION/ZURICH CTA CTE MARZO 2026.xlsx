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1" documentId="13_ncr:1_{DD165C6B-43BE-4407-93CC-54AC7CB840BC}" xr6:coauthVersionLast="47" xr6:coauthVersionMax="47" xr10:uidLastSave="{CD8DE846-DD09-4EBA-B59C-7828B3561D90}"/>
  <bookViews>
    <workbookView xWindow="-108" yWindow="-108" windowWidth="23256" windowHeight="12456" xr2:uid="{26CAA8FB-4AF0-49B8-84DB-58E63299F7B7}"/>
  </bookViews>
  <sheets>
    <sheet name="Hoja1" sheetId="1" r:id="rId1"/>
  </sheets>
  <definedNames>
    <definedName name="_xlnm._FilterDatabase" localSheetId="0" hidden="1">Hoja1!$A$1:$Q$1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55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16" i="1"/>
  <c r="E17" i="1"/>
  <c r="E18" i="1"/>
  <c r="E19" i="1"/>
  <c r="E20" i="1"/>
  <c r="E21" i="1"/>
  <c r="E22" i="1"/>
  <c r="E23" i="1"/>
  <c r="E24" i="1"/>
  <c r="E25" i="1"/>
  <c r="E26" i="1"/>
  <c r="E27" i="1"/>
  <c r="E15" i="1"/>
  <c r="E14" i="1"/>
  <c r="E3" i="1"/>
  <c r="E4" i="1"/>
  <c r="E5" i="1"/>
  <c r="E6" i="1"/>
  <c r="E7" i="1"/>
  <c r="E8" i="1"/>
  <c r="E9" i="1"/>
  <c r="E10" i="1"/>
  <c r="E11" i="1"/>
  <c r="E12" i="1"/>
  <c r="E13" i="1"/>
  <c r="E2" i="1"/>
  <c r="N3" i="1"/>
  <c r="N4" i="1"/>
  <c r="N5" i="1"/>
  <c r="N17" i="1"/>
  <c r="N55" i="1"/>
  <c r="N56" i="1"/>
  <c r="N27" i="1"/>
  <c r="N28" i="1"/>
  <c r="N29" i="1"/>
  <c r="N35" i="1"/>
  <c r="N36" i="1"/>
  <c r="N37" i="1"/>
  <c r="N38" i="1"/>
  <c r="N52" i="1"/>
  <c r="N61" i="1"/>
  <c r="N68" i="1"/>
  <c r="N69" i="1"/>
  <c r="N70" i="1"/>
  <c r="N72" i="1"/>
  <c r="N73" i="1"/>
  <c r="N74" i="1"/>
  <c r="N15" i="1"/>
  <c r="N26" i="1"/>
  <c r="N45" i="1"/>
  <c r="N48" i="1"/>
  <c r="N8" i="1"/>
  <c r="N11" i="1"/>
  <c r="N16" i="1"/>
  <c r="N39" i="1"/>
  <c r="N50" i="1"/>
  <c r="N51" i="1"/>
  <c r="N42" i="1"/>
  <c r="N14" i="1"/>
  <c r="N2" i="1"/>
  <c r="N21" i="1"/>
  <c r="N22" i="1"/>
  <c r="N23" i="1"/>
  <c r="N30" i="1"/>
  <c r="N32" i="1"/>
  <c r="N34" i="1"/>
  <c r="N43" i="1"/>
  <c r="N49" i="1"/>
  <c r="N59" i="1"/>
  <c r="N62" i="1"/>
  <c r="N63" i="1"/>
  <c r="N64" i="1"/>
  <c r="N65" i="1"/>
  <c r="N6" i="1"/>
  <c r="N7" i="1"/>
  <c r="N9" i="1"/>
  <c r="N10" i="1"/>
  <c r="N12" i="1"/>
  <c r="N13" i="1"/>
  <c r="N18" i="1"/>
  <c r="N19" i="1"/>
  <c r="N20" i="1"/>
  <c r="N24" i="1"/>
  <c r="N25" i="1"/>
  <c r="N31" i="1"/>
  <c r="N33" i="1"/>
  <c r="N40" i="1"/>
  <c r="N44" i="1"/>
  <c r="N46" i="1"/>
  <c r="N47" i="1"/>
  <c r="N53" i="1"/>
  <c r="N57" i="1"/>
  <c r="N58" i="1"/>
  <c r="N60" i="1"/>
  <c r="N66" i="1"/>
  <c r="N67" i="1"/>
  <c r="N71" i="1"/>
  <c r="N54" i="1"/>
  <c r="N41" i="1"/>
</calcChain>
</file>

<file path=xl/sharedStrings.xml><?xml version="1.0" encoding="utf-8"?>
<sst xmlns="http://schemas.openxmlformats.org/spreadsheetml/2006/main" count="381" uniqueCount="80">
  <si>
    <t>Código de Familia</t>
  </si>
  <si>
    <t>Organizador/Productor</t>
  </si>
  <si>
    <t>Número de Póliza</t>
  </si>
  <si>
    <t>Endoso</t>
  </si>
  <si>
    <t>Sección</t>
  </si>
  <si>
    <t>Apellido y Nombre del Cliente</t>
  </si>
  <si>
    <t>DNI/CUIT</t>
  </si>
  <si>
    <t>Moneda</t>
  </si>
  <si>
    <t>Prima Técnica</t>
  </si>
  <si>
    <t>Com. Mon. original</t>
  </si>
  <si>
    <t>Debe</t>
  </si>
  <si>
    <t>Haber</t>
  </si>
  <si>
    <t>Comisión Pesos</t>
  </si>
  <si>
    <t>Fecha de Cobranza</t>
  </si>
  <si>
    <t>Productor</t>
  </si>
  <si>
    <t>Premio</t>
  </si>
  <si>
    <t>LATIN PROD ASESORES SA - COBERTURAS Y SERVICIOS SA</t>
  </si>
  <si>
    <t>09 - AUTOMOTORES</t>
  </si>
  <si>
    <t>PEREZ SUSANA AMELIA</t>
  </si>
  <si>
    <t xml:space="preserve">$  </t>
  </si>
  <si>
    <t xml:space="preserve">2099 - COBERTURAS Y SERVICIOS S.A. </t>
  </si>
  <si>
    <t>PANDO MARIANO GONZALO</t>
  </si>
  <si>
    <t>TORRES RODRIGUEZ MARCOS SEBASTIAN</t>
  </si>
  <si>
    <t>ARIOSA MARIA DE LOS ANGELES</t>
  </si>
  <si>
    <t>CRUBELLATI EDUARDO</t>
  </si>
  <si>
    <t>SACCHI JUAN PABLO</t>
  </si>
  <si>
    <t>CHOTSOURIAN JUAN GUILLERMO</t>
  </si>
  <si>
    <t>MALERBA GREGORIO JUAN</t>
  </si>
  <si>
    <t>SANCHEZ SERRANO FLORENCIA ETHEL</t>
  </si>
  <si>
    <t>YANNIELLO CLAUDIO GERARDO</t>
  </si>
  <si>
    <t>VILENSKY GUSTAVO JAVIER</t>
  </si>
  <si>
    <t>ROLON FLORENCIA</t>
  </si>
  <si>
    <t>BERNARDELE DANIEL AXEL</t>
  </si>
  <si>
    <t>05 - INTEGRAL DE COMERCIO</t>
  </si>
  <si>
    <t xml:space="preserve">BERIM </t>
  </si>
  <si>
    <t>08 - COMBINADO FAMILIAR</t>
  </si>
  <si>
    <t>KLANFER PATRICIA MARCELA</t>
  </si>
  <si>
    <t xml:space="preserve">AUTOELEVADORES AS S.R.L. </t>
  </si>
  <si>
    <t xml:space="preserve">SERMOLD SRL </t>
  </si>
  <si>
    <t>SERRITELLI CLAUDIA GRACIELA</t>
  </si>
  <si>
    <t>SIERRA JOSE ALBERTO</t>
  </si>
  <si>
    <t>CASTILLO ROSA GRACIELA</t>
  </si>
  <si>
    <t>PANTANO ALEJANDRO GABRIEL</t>
  </si>
  <si>
    <t>BERIM ERNESTO JAVIER</t>
  </si>
  <si>
    <t>ZUBILLAGA FRANCISCO DANIEL</t>
  </si>
  <si>
    <t>DE LA PUENTE PABLO GUILLERMO</t>
  </si>
  <si>
    <t>POLLIO GUSTAVO ADRIAN</t>
  </si>
  <si>
    <t>INDIJ SERGIO ALDO</t>
  </si>
  <si>
    <t>DONATO ELIZABETH AIDA</t>
  </si>
  <si>
    <t>GALAZAN GUSTAVO ALBERTO</t>
  </si>
  <si>
    <t>SZARFMESER MARCELO RUBEN</t>
  </si>
  <si>
    <t>26 - CONSTRUCCION Y MONTAJE</t>
  </si>
  <si>
    <t xml:space="preserve">ZONA SUPPLY S.A. </t>
  </si>
  <si>
    <t>CARBALLIDO CLAUDIA ALEJANDRA</t>
  </si>
  <si>
    <t xml:space="preserve">GRUPO CRISAL S.R.L. </t>
  </si>
  <si>
    <t>GARCIA ALEJANDRO HUMBERTO</t>
  </si>
  <si>
    <t>WOITOVICH GLADYS MYRIAM</t>
  </si>
  <si>
    <t>ROJAS AGUILO DOLORES</t>
  </si>
  <si>
    <t>MAYORINI LAURA</t>
  </si>
  <si>
    <t>CORDA. ALEJANDRO</t>
  </si>
  <si>
    <t>ESPOSITO SILVINA ALICIA</t>
  </si>
  <si>
    <t>CUPOLO GRACIELA DORA MERCEDES</t>
  </si>
  <si>
    <t>MAURI FEDERICO ALEJANDRO</t>
  </si>
  <si>
    <t>CUENCA MARCELO FACUNDO</t>
  </si>
  <si>
    <t>OJEDA ANGEL RUBEN</t>
  </si>
  <si>
    <t>TOLEDO JOSE ANTONIO</t>
  </si>
  <si>
    <t>GONZALEZ ROSANA</t>
  </si>
  <si>
    <t>ROMANO GUEMES JUAN PABLO</t>
  </si>
  <si>
    <t>DE NICOLA HUGO EDUARDO</t>
  </si>
  <si>
    <t>PREVIDE JORGE RAFAEL</t>
  </si>
  <si>
    <t>RODRIGUEZ JESUS</t>
  </si>
  <si>
    <t>GARCIA FACHAL JOSE LUIS</t>
  </si>
  <si>
    <t>FERNANDEZ FEDERICO ANDRES</t>
  </si>
  <si>
    <t>MILLER MARIA AMALIA</t>
  </si>
  <si>
    <t>VALDA JUAN CARLOS</t>
  </si>
  <si>
    <t>BUSTAMANTE MARCELA</t>
  </si>
  <si>
    <t>MARTINEZ ROXANA VERONICA</t>
  </si>
  <si>
    <t>07 - INTEGRAL DE CONSORCIO</t>
  </si>
  <si>
    <t>BERIM TAMARA MAGALI</t>
  </si>
  <si>
    <t>POLIZA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</si>
</sst>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856A-0981-4D55-A9D2-73C99D4EF669}">
  <dimension ref="A1:Q74"/>
  <sheetViews>
    <sheetView tabSelected="1" topLeftCell="D1" workbookViewId="0">
      <selection activeCell="N35" sqref="N35"/>
    </sheetView>
  </sheetViews>
  <sheetFormatPr baseColWidth="10" defaultRowHeight="14.4" x14ac:dyDescent="0.3"/>
  <cols>
    <col min="3" max="3" width="12" bestFit="1" customWidth="1"/>
    <col min="6" max="6" width="37.33203125" bestFit="1" customWidth="1"/>
    <col min="10" max="10" width="12.33203125" style="4" bestFit="1" customWidth="1"/>
    <col min="11" max="12" width="11.5546875" style="4" bestFit="1" customWidth="1"/>
    <col min="13" max="13" width="11.44140625" style="4"/>
    <col min="14" max="14" width="14.88671875" style="4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79</v>
      </c>
      <c r="F1" s="2" t="s">
        <v>5</v>
      </c>
      <c r="G1" s="2" t="s">
        <v>4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>
        <v>1049</v>
      </c>
      <c r="B2" t="s">
        <v>16</v>
      </c>
      <c r="C2">
        <v>50283408</v>
      </c>
      <c r="D2">
        <v>0</v>
      </c>
      <c r="E2" t="str">
        <f>RIGHT(C2,6)</f>
        <v>283408</v>
      </c>
      <c r="F2" t="s">
        <v>53</v>
      </c>
      <c r="G2" t="s">
        <v>33</v>
      </c>
      <c r="H2">
        <v>27218330318</v>
      </c>
      <c r="I2" t="s">
        <v>19</v>
      </c>
      <c r="J2" s="4">
        <v>-31968.51</v>
      </c>
      <c r="K2" s="4">
        <v>-7275.4</v>
      </c>
      <c r="L2" s="4">
        <v>7275.4</v>
      </c>
      <c r="M2" s="4">
        <v>0</v>
      </c>
      <c r="N2" s="4">
        <f t="shared" ref="N2:N33" si="0">L2+M2</f>
        <v>7275.4</v>
      </c>
      <c r="O2" s="1">
        <v>46098</v>
      </c>
      <c r="P2" t="s">
        <v>20</v>
      </c>
      <c r="Q2">
        <v>500610.24</v>
      </c>
    </row>
    <row r="3" spans="1:17" x14ac:dyDescent="0.3">
      <c r="A3">
        <v>1049</v>
      </c>
      <c r="B3" t="s">
        <v>16</v>
      </c>
      <c r="C3">
        <v>50286277</v>
      </c>
      <c r="D3">
        <v>0</v>
      </c>
      <c r="E3" t="str">
        <f t="shared" ref="E3:E13" si="1">RIGHT(C3,6)</f>
        <v>286277</v>
      </c>
      <c r="F3" t="s">
        <v>54</v>
      </c>
      <c r="G3" t="s">
        <v>33</v>
      </c>
      <c r="H3">
        <v>30711497044</v>
      </c>
      <c r="I3" t="s">
        <v>19</v>
      </c>
      <c r="J3" s="4">
        <v>-131780.35999999999</v>
      </c>
      <c r="K3" s="4">
        <v>-30096.959999999999</v>
      </c>
      <c r="L3" s="4">
        <v>30096.959999999999</v>
      </c>
      <c r="M3" s="4">
        <v>0</v>
      </c>
      <c r="N3" s="4">
        <f t="shared" si="0"/>
        <v>30096.959999999999</v>
      </c>
      <c r="O3" s="1">
        <v>46098</v>
      </c>
      <c r="P3" t="s">
        <v>20</v>
      </c>
      <c r="Q3">
        <v>1991072.28</v>
      </c>
    </row>
    <row r="4" spans="1:17" x14ac:dyDescent="0.3">
      <c r="A4">
        <v>1049</v>
      </c>
      <c r="B4" t="s">
        <v>16</v>
      </c>
      <c r="C4">
        <v>50286277</v>
      </c>
      <c r="D4">
        <v>1</v>
      </c>
      <c r="E4" t="str">
        <f t="shared" si="1"/>
        <v>286277</v>
      </c>
      <c r="F4" t="s">
        <v>54</v>
      </c>
      <c r="G4" t="s">
        <v>33</v>
      </c>
      <c r="H4">
        <v>30711497044</v>
      </c>
      <c r="I4" t="s">
        <v>19</v>
      </c>
      <c r="J4" s="4">
        <v>-15588.26</v>
      </c>
      <c r="K4" s="4">
        <v>-3560.15</v>
      </c>
      <c r="L4" s="4">
        <v>3560.15</v>
      </c>
      <c r="M4" s="4">
        <v>0</v>
      </c>
      <c r="N4" s="4">
        <f t="shared" si="0"/>
        <v>3560.15</v>
      </c>
      <c r="O4" s="1">
        <v>46098</v>
      </c>
      <c r="P4" t="s">
        <v>20</v>
      </c>
      <c r="Q4">
        <v>236924.24</v>
      </c>
    </row>
    <row r="5" spans="1:17" x14ac:dyDescent="0.3">
      <c r="A5">
        <v>1049</v>
      </c>
      <c r="B5" t="s">
        <v>16</v>
      </c>
      <c r="C5">
        <v>50286277</v>
      </c>
      <c r="D5">
        <v>2</v>
      </c>
      <c r="E5" t="str">
        <f t="shared" si="1"/>
        <v>286277</v>
      </c>
      <c r="F5" t="s">
        <v>54</v>
      </c>
      <c r="G5" t="s">
        <v>33</v>
      </c>
      <c r="H5">
        <v>30711497044</v>
      </c>
      <c r="I5" t="s">
        <v>19</v>
      </c>
      <c r="J5" s="4">
        <v>-59256.1</v>
      </c>
      <c r="K5" s="4">
        <v>-13533.28</v>
      </c>
      <c r="L5" s="4">
        <v>13533.28</v>
      </c>
      <c r="M5" s="4">
        <v>0</v>
      </c>
      <c r="N5" s="4">
        <f t="shared" si="0"/>
        <v>13533.28</v>
      </c>
      <c r="O5" s="1">
        <v>46098</v>
      </c>
      <c r="P5" t="s">
        <v>20</v>
      </c>
      <c r="Q5">
        <v>802887.61</v>
      </c>
    </row>
    <row r="6" spans="1:17" x14ac:dyDescent="0.3">
      <c r="A6">
        <v>1049</v>
      </c>
      <c r="B6" t="s">
        <v>16</v>
      </c>
      <c r="C6">
        <v>50286338</v>
      </c>
      <c r="D6">
        <v>1</v>
      </c>
      <c r="E6" t="str">
        <f t="shared" si="1"/>
        <v>286338</v>
      </c>
      <c r="F6" t="s">
        <v>34</v>
      </c>
      <c r="G6" t="s">
        <v>33</v>
      </c>
      <c r="H6">
        <v>20162870638</v>
      </c>
      <c r="I6" t="s">
        <v>19</v>
      </c>
      <c r="J6" s="4">
        <v>-233.58</v>
      </c>
      <c r="K6" s="4">
        <v>-29.16</v>
      </c>
      <c r="L6" s="4">
        <v>29.16</v>
      </c>
      <c r="M6" s="4">
        <v>0</v>
      </c>
      <c r="N6" s="4">
        <f t="shared" si="0"/>
        <v>29.16</v>
      </c>
      <c r="O6" s="1">
        <v>46091</v>
      </c>
      <c r="P6" t="s">
        <v>20</v>
      </c>
      <c r="Q6">
        <v>3303.91</v>
      </c>
    </row>
    <row r="7" spans="1:17" x14ac:dyDescent="0.3">
      <c r="A7">
        <v>1049</v>
      </c>
      <c r="B7" t="s">
        <v>16</v>
      </c>
      <c r="C7">
        <v>50286338</v>
      </c>
      <c r="D7">
        <v>3</v>
      </c>
      <c r="E7" t="str">
        <f t="shared" si="1"/>
        <v>286338</v>
      </c>
      <c r="F7" t="s">
        <v>34</v>
      </c>
      <c r="G7" t="s">
        <v>33</v>
      </c>
      <c r="H7">
        <v>20162870638</v>
      </c>
      <c r="I7" t="s">
        <v>19</v>
      </c>
      <c r="J7" s="4">
        <v>-6496.78</v>
      </c>
      <c r="K7" s="4">
        <v>-811.06</v>
      </c>
      <c r="L7" s="4">
        <v>811.06</v>
      </c>
      <c r="M7" s="4">
        <v>0</v>
      </c>
      <c r="N7" s="4">
        <f t="shared" si="0"/>
        <v>811.06</v>
      </c>
      <c r="O7" s="1">
        <v>46091</v>
      </c>
      <c r="P7" t="s">
        <v>20</v>
      </c>
      <c r="Q7">
        <v>46123.97</v>
      </c>
    </row>
    <row r="8" spans="1:17" x14ac:dyDescent="0.3">
      <c r="A8">
        <v>1049</v>
      </c>
      <c r="B8" t="s">
        <v>16</v>
      </c>
      <c r="C8">
        <v>50286338</v>
      </c>
      <c r="D8">
        <v>0</v>
      </c>
      <c r="E8" t="str">
        <f t="shared" si="1"/>
        <v>286338</v>
      </c>
      <c r="F8" t="s">
        <v>34</v>
      </c>
      <c r="G8" t="s">
        <v>33</v>
      </c>
      <c r="H8">
        <v>20162870638</v>
      </c>
      <c r="I8" t="s">
        <v>19</v>
      </c>
      <c r="J8" s="4">
        <v>-23533.77</v>
      </c>
      <c r="K8" s="4">
        <v>-2937.96</v>
      </c>
      <c r="L8" s="4">
        <v>2937.96</v>
      </c>
      <c r="M8" s="4">
        <v>0</v>
      </c>
      <c r="N8" s="4">
        <f t="shared" si="0"/>
        <v>2937.96</v>
      </c>
      <c r="O8" s="1">
        <v>46105</v>
      </c>
      <c r="P8" t="s">
        <v>20</v>
      </c>
      <c r="Q8">
        <v>332566.25</v>
      </c>
    </row>
    <row r="9" spans="1:17" x14ac:dyDescent="0.3">
      <c r="A9">
        <v>1049</v>
      </c>
      <c r="B9" t="s">
        <v>16</v>
      </c>
      <c r="C9">
        <v>50286339</v>
      </c>
      <c r="D9">
        <v>1</v>
      </c>
      <c r="E9" t="str">
        <f t="shared" si="1"/>
        <v>286339</v>
      </c>
      <c r="F9" t="s">
        <v>34</v>
      </c>
      <c r="G9" t="s">
        <v>33</v>
      </c>
      <c r="H9">
        <v>20162870638</v>
      </c>
      <c r="I9" t="s">
        <v>19</v>
      </c>
      <c r="J9" s="4">
        <v>-234.88</v>
      </c>
      <c r="K9" s="4">
        <v>-29.32</v>
      </c>
      <c r="L9" s="4">
        <v>29.32</v>
      </c>
      <c r="M9" s="4">
        <v>0</v>
      </c>
      <c r="N9" s="4">
        <f t="shared" si="0"/>
        <v>29.32</v>
      </c>
      <c r="O9" s="1">
        <v>46091</v>
      </c>
      <c r="P9" t="s">
        <v>20</v>
      </c>
      <c r="Q9">
        <v>3546.56</v>
      </c>
    </row>
    <row r="10" spans="1:17" x14ac:dyDescent="0.3">
      <c r="A10">
        <v>1049</v>
      </c>
      <c r="B10" t="s">
        <v>16</v>
      </c>
      <c r="C10">
        <v>50286339</v>
      </c>
      <c r="D10">
        <v>4</v>
      </c>
      <c r="E10" t="str">
        <f t="shared" si="1"/>
        <v>286339</v>
      </c>
      <c r="F10" t="s">
        <v>34</v>
      </c>
      <c r="G10" t="s">
        <v>33</v>
      </c>
      <c r="H10">
        <v>20162870638</v>
      </c>
      <c r="I10" t="s">
        <v>19</v>
      </c>
      <c r="J10" s="4">
        <v>-1887.55</v>
      </c>
      <c r="K10" s="4">
        <v>-716.11</v>
      </c>
      <c r="L10" s="4">
        <v>716.11</v>
      </c>
      <c r="M10" s="4">
        <v>0</v>
      </c>
      <c r="N10" s="4">
        <f t="shared" si="0"/>
        <v>716.11</v>
      </c>
      <c r="O10" s="1">
        <v>46091</v>
      </c>
      <c r="P10" t="s">
        <v>20</v>
      </c>
      <c r="Q10">
        <v>32648.6</v>
      </c>
    </row>
    <row r="11" spans="1:17" x14ac:dyDescent="0.3">
      <c r="A11">
        <v>1049</v>
      </c>
      <c r="B11" t="s">
        <v>16</v>
      </c>
      <c r="C11">
        <v>50286339</v>
      </c>
      <c r="D11">
        <v>0</v>
      </c>
      <c r="E11" t="str">
        <f t="shared" si="1"/>
        <v>286339</v>
      </c>
      <c r="F11" t="s">
        <v>34</v>
      </c>
      <c r="G11" t="s">
        <v>33</v>
      </c>
      <c r="H11">
        <v>20162870638</v>
      </c>
      <c r="I11" t="s">
        <v>19</v>
      </c>
      <c r="J11" s="4">
        <v>-47199.95</v>
      </c>
      <c r="K11" s="4">
        <v>-5892.47</v>
      </c>
      <c r="L11" s="4">
        <v>5892.47</v>
      </c>
      <c r="M11" s="4">
        <v>0</v>
      </c>
      <c r="N11" s="4">
        <f t="shared" si="0"/>
        <v>5892.47</v>
      </c>
      <c r="O11" s="1">
        <v>46105</v>
      </c>
      <c r="P11" t="s">
        <v>20</v>
      </c>
      <c r="Q11">
        <v>674555.21</v>
      </c>
    </row>
    <row r="12" spans="1:17" x14ac:dyDescent="0.3">
      <c r="A12">
        <v>1049</v>
      </c>
      <c r="B12" t="s">
        <v>16</v>
      </c>
      <c r="C12">
        <v>50286696</v>
      </c>
      <c r="D12">
        <v>0</v>
      </c>
      <c r="E12" t="str">
        <f t="shared" si="1"/>
        <v>286696</v>
      </c>
      <c r="F12" t="s">
        <v>34</v>
      </c>
      <c r="G12" t="s">
        <v>33</v>
      </c>
      <c r="H12">
        <v>20162870638</v>
      </c>
      <c r="I12" t="s">
        <v>19</v>
      </c>
      <c r="J12" s="4">
        <v>-30661.39</v>
      </c>
      <c r="K12" s="4">
        <v>-5869.26</v>
      </c>
      <c r="L12" s="4">
        <v>5869.26</v>
      </c>
      <c r="M12" s="4">
        <v>0</v>
      </c>
      <c r="N12" s="4">
        <f t="shared" si="0"/>
        <v>5869.26</v>
      </c>
      <c r="O12" s="1">
        <v>46091</v>
      </c>
      <c r="P12" t="s">
        <v>20</v>
      </c>
      <c r="Q12">
        <v>483450.35</v>
      </c>
    </row>
    <row r="13" spans="1:17" x14ac:dyDescent="0.3">
      <c r="A13">
        <v>1049</v>
      </c>
      <c r="B13" t="s">
        <v>16</v>
      </c>
      <c r="C13">
        <v>50286696</v>
      </c>
      <c r="D13">
        <v>2</v>
      </c>
      <c r="E13" t="str">
        <f t="shared" si="1"/>
        <v>286696</v>
      </c>
      <c r="F13" t="s">
        <v>34</v>
      </c>
      <c r="G13" t="s">
        <v>33</v>
      </c>
      <c r="H13">
        <v>20162870638</v>
      </c>
      <c r="I13" t="s">
        <v>19</v>
      </c>
      <c r="J13" s="4">
        <v>-571.94000000000005</v>
      </c>
      <c r="K13" s="4">
        <v>-132.58000000000001</v>
      </c>
      <c r="L13" s="4">
        <v>132.58000000000001</v>
      </c>
      <c r="M13" s="4">
        <v>0</v>
      </c>
      <c r="N13" s="4">
        <f t="shared" si="0"/>
        <v>132.58000000000001</v>
      </c>
      <c r="O13" s="1">
        <v>46091</v>
      </c>
      <c r="P13" t="s">
        <v>20</v>
      </c>
      <c r="Q13">
        <v>7161.7</v>
      </c>
    </row>
    <row r="14" spans="1:17" x14ac:dyDescent="0.3">
      <c r="A14">
        <v>1049</v>
      </c>
      <c r="B14" t="s">
        <v>16</v>
      </c>
      <c r="C14">
        <v>70054219</v>
      </c>
      <c r="D14">
        <v>0</v>
      </c>
      <c r="E14" t="str">
        <f>RIGHT(C14,5)</f>
        <v>54219</v>
      </c>
      <c r="F14" t="s">
        <v>78</v>
      </c>
      <c r="G14" t="s">
        <v>77</v>
      </c>
      <c r="H14">
        <v>23342119204</v>
      </c>
      <c r="I14" t="s">
        <v>19</v>
      </c>
      <c r="J14" s="4">
        <v>-22803.16</v>
      </c>
      <c r="K14" s="4">
        <v>-8120.35</v>
      </c>
      <c r="L14" s="4">
        <v>8120.35</v>
      </c>
      <c r="M14" s="4">
        <v>0</v>
      </c>
      <c r="N14" s="4">
        <f t="shared" si="0"/>
        <v>8120.35</v>
      </c>
    </row>
    <row r="15" spans="1:17" x14ac:dyDescent="0.3">
      <c r="A15">
        <v>1049</v>
      </c>
      <c r="B15" t="s">
        <v>16</v>
      </c>
      <c r="C15">
        <v>82308792</v>
      </c>
      <c r="D15">
        <v>11</v>
      </c>
      <c r="E15" t="str">
        <f>RIGHT(C15,7)</f>
        <v>2308792</v>
      </c>
      <c r="F15" t="s">
        <v>70</v>
      </c>
      <c r="G15" t="s">
        <v>35</v>
      </c>
      <c r="H15">
        <v>20117263143</v>
      </c>
      <c r="I15" t="s">
        <v>19</v>
      </c>
      <c r="J15" s="4">
        <v>-65917.399999999994</v>
      </c>
      <c r="K15" s="4">
        <v>-11865.12</v>
      </c>
      <c r="L15" s="4">
        <v>11865.12</v>
      </c>
      <c r="M15" s="4">
        <v>0</v>
      </c>
      <c r="N15" s="4">
        <f t="shared" si="0"/>
        <v>11865.12</v>
      </c>
      <c r="O15" s="1">
        <v>46099</v>
      </c>
      <c r="P15" t="s">
        <v>20</v>
      </c>
      <c r="Q15">
        <v>96206.62</v>
      </c>
    </row>
    <row r="16" spans="1:17" x14ac:dyDescent="0.3">
      <c r="A16">
        <v>1049</v>
      </c>
      <c r="B16" t="s">
        <v>16</v>
      </c>
      <c r="C16">
        <v>82320754</v>
      </c>
      <c r="D16">
        <v>9</v>
      </c>
      <c r="E16" t="str">
        <f t="shared" ref="E16:E74" si="2">RIGHT(C16,7)</f>
        <v>2320754</v>
      </c>
      <c r="F16" t="s">
        <v>73</v>
      </c>
      <c r="G16" t="s">
        <v>35</v>
      </c>
      <c r="H16">
        <v>23169758174</v>
      </c>
      <c r="I16" t="s">
        <v>19</v>
      </c>
      <c r="J16" s="4">
        <v>-55877.18</v>
      </c>
      <c r="K16" s="4">
        <v>-10057.89</v>
      </c>
      <c r="L16" s="4">
        <v>10057.89</v>
      </c>
      <c r="M16" s="4">
        <v>0</v>
      </c>
      <c r="N16" s="4">
        <f t="shared" si="0"/>
        <v>10057.89</v>
      </c>
      <c r="O16" s="1">
        <v>46105</v>
      </c>
      <c r="P16" t="s">
        <v>20</v>
      </c>
      <c r="Q16">
        <v>82635.679999999993</v>
      </c>
    </row>
    <row r="17" spans="1:17" x14ac:dyDescent="0.3">
      <c r="A17">
        <v>1049</v>
      </c>
      <c r="B17" t="s">
        <v>16</v>
      </c>
      <c r="C17">
        <v>82323172</v>
      </c>
      <c r="D17">
        <v>9</v>
      </c>
      <c r="E17" t="str">
        <f t="shared" si="2"/>
        <v>2323172</v>
      </c>
      <c r="F17" t="s">
        <v>55</v>
      </c>
      <c r="G17" t="s">
        <v>35</v>
      </c>
      <c r="H17">
        <v>20113864142</v>
      </c>
      <c r="I17" t="s">
        <v>19</v>
      </c>
      <c r="J17" s="4">
        <v>-70405.86</v>
      </c>
      <c r="K17" s="4">
        <v>-16193.36</v>
      </c>
      <c r="L17" s="4">
        <v>16193.36</v>
      </c>
      <c r="M17" s="4">
        <v>0</v>
      </c>
      <c r="N17" s="4">
        <f t="shared" si="0"/>
        <v>16193.36</v>
      </c>
      <c r="O17" s="1">
        <v>46098</v>
      </c>
      <c r="P17" t="s">
        <v>20</v>
      </c>
      <c r="Q17">
        <v>106140.24</v>
      </c>
    </row>
    <row r="18" spans="1:17" x14ac:dyDescent="0.3">
      <c r="A18">
        <v>1049</v>
      </c>
      <c r="B18" t="s">
        <v>16</v>
      </c>
      <c r="C18">
        <v>82342542</v>
      </c>
      <c r="D18">
        <v>9</v>
      </c>
      <c r="E18" t="str">
        <f t="shared" si="2"/>
        <v>2342542</v>
      </c>
      <c r="F18" t="s">
        <v>34</v>
      </c>
      <c r="G18" t="s">
        <v>35</v>
      </c>
      <c r="H18">
        <v>20162870638</v>
      </c>
      <c r="I18" t="s">
        <v>19</v>
      </c>
      <c r="J18" s="4">
        <v>-40109.5</v>
      </c>
      <c r="K18" s="4">
        <v>-6016.41</v>
      </c>
      <c r="L18" s="4">
        <v>6016.41</v>
      </c>
      <c r="M18" s="4">
        <v>0</v>
      </c>
      <c r="N18" s="4">
        <f t="shared" si="0"/>
        <v>6016.41</v>
      </c>
      <c r="O18" s="1">
        <v>46091</v>
      </c>
      <c r="P18" t="s">
        <v>20</v>
      </c>
      <c r="Q18">
        <v>60712.34</v>
      </c>
    </row>
    <row r="19" spans="1:17" x14ac:dyDescent="0.3">
      <c r="A19">
        <v>1049</v>
      </c>
      <c r="B19" t="s">
        <v>16</v>
      </c>
      <c r="C19">
        <v>82342547</v>
      </c>
      <c r="D19">
        <v>10</v>
      </c>
      <c r="E19" t="str">
        <f t="shared" si="2"/>
        <v>2342547</v>
      </c>
      <c r="F19" t="s">
        <v>36</v>
      </c>
      <c r="G19" t="s">
        <v>35</v>
      </c>
      <c r="H19">
        <v>27168948633</v>
      </c>
      <c r="I19" t="s">
        <v>19</v>
      </c>
      <c r="J19" s="4">
        <v>-30192.19</v>
      </c>
      <c r="K19" s="4">
        <v>-6038.44</v>
      </c>
      <c r="L19" s="4">
        <v>6038.44</v>
      </c>
      <c r="M19" s="4">
        <v>0</v>
      </c>
      <c r="N19" s="4">
        <f t="shared" si="0"/>
        <v>6038.44</v>
      </c>
      <c r="O19" s="1">
        <v>46091</v>
      </c>
      <c r="P19" t="s">
        <v>20</v>
      </c>
      <c r="Q19">
        <v>47364.34</v>
      </c>
    </row>
    <row r="20" spans="1:17" x14ac:dyDescent="0.3">
      <c r="A20">
        <v>1049</v>
      </c>
      <c r="B20" t="s">
        <v>16</v>
      </c>
      <c r="C20">
        <v>82342555</v>
      </c>
      <c r="D20">
        <v>10</v>
      </c>
      <c r="E20" t="str">
        <f t="shared" si="2"/>
        <v>2342555</v>
      </c>
      <c r="F20" t="s">
        <v>36</v>
      </c>
      <c r="G20" t="s">
        <v>35</v>
      </c>
      <c r="H20">
        <v>27168948633</v>
      </c>
      <c r="I20" t="s">
        <v>19</v>
      </c>
      <c r="J20" s="4">
        <v>-13232.24</v>
      </c>
      <c r="K20" s="4">
        <v>-1984.84</v>
      </c>
      <c r="L20" s="4">
        <v>1984.84</v>
      </c>
      <c r="M20" s="4">
        <v>0</v>
      </c>
      <c r="N20" s="4">
        <f t="shared" si="0"/>
        <v>1984.84</v>
      </c>
      <c r="O20" s="1">
        <v>46091</v>
      </c>
      <c r="P20" t="s">
        <v>20</v>
      </c>
      <c r="Q20">
        <v>20777.53</v>
      </c>
    </row>
    <row r="21" spans="1:17" x14ac:dyDescent="0.3">
      <c r="A21">
        <v>1049</v>
      </c>
      <c r="B21" t="s">
        <v>16</v>
      </c>
      <c r="C21">
        <v>96133805</v>
      </c>
      <c r="D21">
        <v>13</v>
      </c>
      <c r="E21" t="str">
        <f t="shared" si="2"/>
        <v>6133805</v>
      </c>
      <c r="F21" t="s">
        <v>21</v>
      </c>
      <c r="G21" t="s">
        <v>17</v>
      </c>
      <c r="H21">
        <v>95132133160</v>
      </c>
      <c r="I21" t="s">
        <v>19</v>
      </c>
      <c r="J21" s="4">
        <v>-105913.33</v>
      </c>
      <c r="K21" s="4">
        <v>-20123.54</v>
      </c>
      <c r="L21" s="4">
        <v>20123.54</v>
      </c>
      <c r="M21" s="4">
        <v>0</v>
      </c>
      <c r="N21" s="4">
        <f t="shared" si="0"/>
        <v>20123.54</v>
      </c>
      <c r="O21" s="1">
        <v>46084</v>
      </c>
      <c r="P21" t="s">
        <v>20</v>
      </c>
      <c r="Q21">
        <v>174991.7</v>
      </c>
    </row>
    <row r="22" spans="1:17" x14ac:dyDescent="0.3">
      <c r="A22">
        <v>1049</v>
      </c>
      <c r="B22" t="s">
        <v>16</v>
      </c>
      <c r="C22">
        <v>96138477</v>
      </c>
      <c r="D22">
        <v>11</v>
      </c>
      <c r="E22" t="str">
        <f t="shared" si="2"/>
        <v>6138477</v>
      </c>
      <c r="F22" t="s">
        <v>22</v>
      </c>
      <c r="G22" t="s">
        <v>17</v>
      </c>
      <c r="H22">
        <v>95256124500</v>
      </c>
      <c r="I22" t="s">
        <v>19</v>
      </c>
      <c r="J22" s="4">
        <v>-115251.15</v>
      </c>
      <c r="K22" s="4">
        <v>-21897.73</v>
      </c>
      <c r="L22" s="4">
        <v>21897.73</v>
      </c>
      <c r="M22" s="4">
        <v>0</v>
      </c>
      <c r="N22" s="4">
        <f t="shared" si="0"/>
        <v>21897.73</v>
      </c>
      <c r="O22" s="1">
        <v>46084</v>
      </c>
      <c r="P22" t="s">
        <v>20</v>
      </c>
      <c r="Q22">
        <v>192532.34</v>
      </c>
    </row>
    <row r="23" spans="1:17" x14ac:dyDescent="0.3">
      <c r="A23">
        <v>1049</v>
      </c>
      <c r="B23" t="s">
        <v>16</v>
      </c>
      <c r="C23">
        <v>96141201</v>
      </c>
      <c r="D23">
        <v>11</v>
      </c>
      <c r="E23" t="str">
        <f t="shared" si="2"/>
        <v>6141201</v>
      </c>
      <c r="F23" t="s">
        <v>22</v>
      </c>
      <c r="G23" t="s">
        <v>17</v>
      </c>
      <c r="H23">
        <v>95256124500</v>
      </c>
      <c r="I23" t="s">
        <v>19</v>
      </c>
      <c r="J23" s="4">
        <v>-224799.53</v>
      </c>
      <c r="K23" s="4">
        <v>-42711.93</v>
      </c>
      <c r="L23" s="4">
        <v>42711.93</v>
      </c>
      <c r="M23" s="4">
        <v>0</v>
      </c>
      <c r="N23" s="4">
        <f t="shared" si="0"/>
        <v>42711.93</v>
      </c>
      <c r="O23" s="1">
        <v>46084</v>
      </c>
      <c r="P23" t="s">
        <v>20</v>
      </c>
      <c r="Q23">
        <v>362446.11</v>
      </c>
    </row>
    <row r="24" spans="1:17" x14ac:dyDescent="0.3">
      <c r="A24">
        <v>1049</v>
      </c>
      <c r="B24" t="s">
        <v>16</v>
      </c>
      <c r="C24">
        <v>96148849</v>
      </c>
      <c r="D24">
        <v>11</v>
      </c>
      <c r="E24" t="str">
        <f t="shared" si="2"/>
        <v>6148849</v>
      </c>
      <c r="F24" t="s">
        <v>37</v>
      </c>
      <c r="G24" t="s">
        <v>17</v>
      </c>
      <c r="H24">
        <v>30708323884</v>
      </c>
      <c r="I24" t="s">
        <v>19</v>
      </c>
      <c r="J24" s="4">
        <v>-11693.18</v>
      </c>
      <c r="K24" s="4">
        <v>-2806.36</v>
      </c>
      <c r="L24" s="4">
        <v>2806.36</v>
      </c>
      <c r="M24" s="4">
        <v>0</v>
      </c>
      <c r="N24" s="4">
        <f t="shared" si="0"/>
        <v>2806.36</v>
      </c>
      <c r="O24" s="1">
        <v>46091</v>
      </c>
      <c r="P24" t="s">
        <v>20</v>
      </c>
      <c r="Q24">
        <v>261222.73</v>
      </c>
    </row>
    <row r="25" spans="1:17" x14ac:dyDescent="0.3">
      <c r="A25">
        <v>1049</v>
      </c>
      <c r="B25" t="s">
        <v>16</v>
      </c>
      <c r="C25">
        <v>96152288</v>
      </c>
      <c r="D25">
        <v>1</v>
      </c>
      <c r="E25" t="str">
        <f t="shared" si="2"/>
        <v>6152288</v>
      </c>
      <c r="F25" t="s">
        <v>38</v>
      </c>
      <c r="G25" t="s">
        <v>17</v>
      </c>
      <c r="H25">
        <v>30708830514</v>
      </c>
      <c r="I25" t="s">
        <v>19</v>
      </c>
      <c r="J25" s="4">
        <v>-180667.31</v>
      </c>
      <c r="K25" s="4">
        <v>-13234.95</v>
      </c>
      <c r="L25" s="4">
        <v>13234.95</v>
      </c>
      <c r="M25" s="4">
        <v>0</v>
      </c>
      <c r="N25" s="4">
        <f t="shared" si="0"/>
        <v>13234.95</v>
      </c>
      <c r="O25" s="1">
        <v>46091</v>
      </c>
      <c r="P25" t="s">
        <v>20</v>
      </c>
      <c r="Q25">
        <v>1186710.5</v>
      </c>
    </row>
    <row r="26" spans="1:17" x14ac:dyDescent="0.3">
      <c r="A26">
        <v>1049</v>
      </c>
      <c r="B26" t="s">
        <v>16</v>
      </c>
      <c r="C26">
        <v>96176406</v>
      </c>
      <c r="D26">
        <v>11</v>
      </c>
      <c r="E26" t="str">
        <f t="shared" si="2"/>
        <v>6176406</v>
      </c>
      <c r="F26" t="s">
        <v>70</v>
      </c>
      <c r="G26" t="s">
        <v>17</v>
      </c>
      <c r="H26">
        <v>95117263140</v>
      </c>
      <c r="I26" t="s">
        <v>19</v>
      </c>
      <c r="J26" s="4">
        <v>-128701.15</v>
      </c>
      <c r="K26" s="4">
        <v>-27027.24</v>
      </c>
      <c r="L26" s="4">
        <v>27027.24</v>
      </c>
      <c r="M26" s="4">
        <v>0</v>
      </c>
      <c r="N26" s="4">
        <f t="shared" si="0"/>
        <v>27027.24</v>
      </c>
      <c r="O26" s="1">
        <v>46099</v>
      </c>
      <c r="P26" t="s">
        <v>20</v>
      </c>
      <c r="Q26">
        <v>219549.43</v>
      </c>
    </row>
    <row r="27" spans="1:17" x14ac:dyDescent="0.3">
      <c r="A27">
        <v>1049</v>
      </c>
      <c r="B27" t="s">
        <v>16</v>
      </c>
      <c r="C27">
        <v>96181351</v>
      </c>
      <c r="D27">
        <v>11</v>
      </c>
      <c r="E27" t="str">
        <f t="shared" si="2"/>
        <v>6181351</v>
      </c>
      <c r="F27" t="s">
        <v>57</v>
      </c>
      <c r="G27" t="s">
        <v>17</v>
      </c>
      <c r="H27">
        <v>95238885470</v>
      </c>
      <c r="I27" t="s">
        <v>19</v>
      </c>
      <c r="J27" s="4">
        <v>-140113.25</v>
      </c>
      <c r="K27" s="4">
        <v>-14011.35</v>
      </c>
      <c r="L27" s="4">
        <v>14011.35</v>
      </c>
      <c r="M27" s="4">
        <v>0</v>
      </c>
      <c r="N27" s="4">
        <f t="shared" si="0"/>
        <v>14011.35</v>
      </c>
      <c r="O27" s="1">
        <v>46098</v>
      </c>
      <c r="P27" t="s">
        <v>20</v>
      </c>
      <c r="Q27">
        <v>217941.23</v>
      </c>
    </row>
    <row r="28" spans="1:17" x14ac:dyDescent="0.3">
      <c r="A28">
        <v>1049</v>
      </c>
      <c r="B28" t="s">
        <v>16</v>
      </c>
      <c r="C28">
        <v>96184833</v>
      </c>
      <c r="D28">
        <v>10</v>
      </c>
      <c r="E28" t="str">
        <f t="shared" si="2"/>
        <v>6184833</v>
      </c>
      <c r="F28" t="s">
        <v>58</v>
      </c>
      <c r="G28" t="s">
        <v>17</v>
      </c>
      <c r="H28">
        <v>95269651130</v>
      </c>
      <c r="I28" t="s">
        <v>19</v>
      </c>
      <c r="J28" s="4">
        <v>-49646.239999999998</v>
      </c>
      <c r="K28" s="4">
        <v>-6950.48</v>
      </c>
      <c r="L28" s="4">
        <v>6950.48</v>
      </c>
      <c r="M28" s="4">
        <v>0</v>
      </c>
      <c r="N28" s="4">
        <f t="shared" si="0"/>
        <v>6950.48</v>
      </c>
      <c r="O28" s="1">
        <v>46098</v>
      </c>
      <c r="P28" t="s">
        <v>20</v>
      </c>
      <c r="Q28">
        <v>84741.22</v>
      </c>
    </row>
    <row r="29" spans="1:17" x14ac:dyDescent="0.3">
      <c r="A29">
        <v>1049</v>
      </c>
      <c r="B29" t="s">
        <v>16</v>
      </c>
      <c r="C29">
        <v>96185432</v>
      </c>
      <c r="D29">
        <v>11</v>
      </c>
      <c r="E29" t="str">
        <f t="shared" si="2"/>
        <v>6185432</v>
      </c>
      <c r="F29" t="s">
        <v>26</v>
      </c>
      <c r="G29" t="s">
        <v>17</v>
      </c>
      <c r="H29">
        <v>95172014250</v>
      </c>
      <c r="I29" t="s">
        <v>19</v>
      </c>
      <c r="J29" s="4">
        <v>-136328.01</v>
      </c>
      <c r="K29" s="4">
        <v>-25902.32</v>
      </c>
      <c r="L29" s="4">
        <v>25902.32</v>
      </c>
      <c r="M29" s="4">
        <v>0</v>
      </c>
      <c r="N29" s="4">
        <f t="shared" si="0"/>
        <v>25902.32</v>
      </c>
      <c r="O29" s="1">
        <v>46098</v>
      </c>
      <c r="P29" t="s">
        <v>20</v>
      </c>
      <c r="Q29">
        <v>222538.99</v>
      </c>
    </row>
    <row r="30" spans="1:17" x14ac:dyDescent="0.3">
      <c r="A30">
        <v>1049</v>
      </c>
      <c r="B30" t="s">
        <v>16</v>
      </c>
      <c r="C30">
        <v>96207869</v>
      </c>
      <c r="D30">
        <v>10</v>
      </c>
      <c r="E30" t="str">
        <f t="shared" si="2"/>
        <v>6207869</v>
      </c>
      <c r="F30" t="s">
        <v>23</v>
      </c>
      <c r="G30" t="s">
        <v>17</v>
      </c>
      <c r="H30">
        <v>95205372630</v>
      </c>
      <c r="I30" t="s">
        <v>19</v>
      </c>
      <c r="J30" s="4">
        <v>-152539.72</v>
      </c>
      <c r="K30" s="4">
        <v>-25931.74</v>
      </c>
      <c r="L30" s="4">
        <v>25931.74</v>
      </c>
      <c r="M30" s="4">
        <v>0</v>
      </c>
      <c r="N30" s="4">
        <f t="shared" si="0"/>
        <v>25931.74</v>
      </c>
      <c r="O30" s="1">
        <v>46084</v>
      </c>
      <c r="P30" t="s">
        <v>20</v>
      </c>
      <c r="Q30">
        <v>245812.26</v>
      </c>
    </row>
    <row r="31" spans="1:17" x14ac:dyDescent="0.3">
      <c r="A31">
        <v>1049</v>
      </c>
      <c r="B31" t="s">
        <v>16</v>
      </c>
      <c r="C31">
        <v>96215830</v>
      </c>
      <c r="D31">
        <v>1</v>
      </c>
      <c r="E31" t="str">
        <f t="shared" si="2"/>
        <v>6215830</v>
      </c>
      <c r="F31" t="s">
        <v>39</v>
      </c>
      <c r="G31" t="s">
        <v>17</v>
      </c>
      <c r="H31">
        <v>95140264870</v>
      </c>
      <c r="I31" t="s">
        <v>19</v>
      </c>
      <c r="J31" s="4">
        <v>-88030.62</v>
      </c>
      <c r="K31" s="4">
        <v>-12414.33</v>
      </c>
      <c r="L31" s="4">
        <v>12414.33</v>
      </c>
      <c r="M31" s="4">
        <v>0</v>
      </c>
      <c r="N31" s="4">
        <f t="shared" si="0"/>
        <v>12414.33</v>
      </c>
      <c r="O31" s="1">
        <v>46091</v>
      </c>
      <c r="P31" t="s">
        <v>20</v>
      </c>
      <c r="Q31">
        <v>657035.81000000006</v>
      </c>
    </row>
    <row r="32" spans="1:17" x14ac:dyDescent="0.3">
      <c r="A32">
        <v>1049</v>
      </c>
      <c r="B32" t="s">
        <v>16</v>
      </c>
      <c r="C32">
        <v>96219723</v>
      </c>
      <c r="D32">
        <v>8</v>
      </c>
      <c r="E32" t="str">
        <f t="shared" si="2"/>
        <v>6219723</v>
      </c>
      <c r="F32" t="s">
        <v>24</v>
      </c>
      <c r="G32" t="s">
        <v>17</v>
      </c>
      <c r="H32">
        <v>95119875850</v>
      </c>
      <c r="I32" t="s">
        <v>19</v>
      </c>
      <c r="J32" s="4">
        <v>-100523.54</v>
      </c>
      <c r="K32" s="4">
        <v>-4020.95</v>
      </c>
      <c r="L32" s="4">
        <v>4020.95</v>
      </c>
      <c r="M32" s="4">
        <v>0</v>
      </c>
      <c r="N32" s="4">
        <f t="shared" si="0"/>
        <v>4020.95</v>
      </c>
      <c r="O32" s="1">
        <v>46084</v>
      </c>
      <c r="P32" t="s">
        <v>20</v>
      </c>
      <c r="Q32">
        <v>152902.42000000001</v>
      </c>
    </row>
    <row r="33" spans="1:17" x14ac:dyDescent="0.3">
      <c r="A33">
        <v>1049</v>
      </c>
      <c r="B33" t="s">
        <v>16</v>
      </c>
      <c r="C33">
        <v>96224804</v>
      </c>
      <c r="D33">
        <v>8</v>
      </c>
      <c r="E33" t="str">
        <f t="shared" si="2"/>
        <v>6224804</v>
      </c>
      <c r="F33" t="s">
        <v>40</v>
      </c>
      <c r="G33" t="s">
        <v>17</v>
      </c>
      <c r="H33">
        <v>95108957180</v>
      </c>
      <c r="I33" t="s">
        <v>19</v>
      </c>
      <c r="J33" s="4">
        <v>-66552.3</v>
      </c>
      <c r="K33" s="4">
        <v>-14641.52</v>
      </c>
      <c r="L33" s="4">
        <v>14641.52</v>
      </c>
      <c r="M33" s="4">
        <v>0</v>
      </c>
      <c r="N33" s="4">
        <f t="shared" si="0"/>
        <v>14641.52</v>
      </c>
      <c r="O33" s="1">
        <v>46091</v>
      </c>
      <c r="P33" t="s">
        <v>20</v>
      </c>
      <c r="Q33">
        <v>116680.32000000001</v>
      </c>
    </row>
    <row r="34" spans="1:17" x14ac:dyDescent="0.3">
      <c r="A34">
        <v>1049</v>
      </c>
      <c r="B34" t="s">
        <v>16</v>
      </c>
      <c r="C34">
        <v>96227066</v>
      </c>
      <c r="D34">
        <v>8</v>
      </c>
      <c r="E34" t="str">
        <f t="shared" si="2"/>
        <v>6227066</v>
      </c>
      <c r="F34" t="s">
        <v>25</v>
      </c>
      <c r="G34" t="s">
        <v>17</v>
      </c>
      <c r="H34">
        <v>95235082090</v>
      </c>
      <c r="I34" t="s">
        <v>19</v>
      </c>
      <c r="J34" s="4">
        <v>-70033.990000000005</v>
      </c>
      <c r="K34" s="4">
        <v>-13306.45</v>
      </c>
      <c r="L34" s="4">
        <v>13306.45</v>
      </c>
      <c r="M34" s="4">
        <v>0</v>
      </c>
      <c r="N34" s="4">
        <f t="shared" ref="N34:N65" si="3">L34+M34</f>
        <v>13306.45</v>
      </c>
      <c r="O34" s="1">
        <v>46084</v>
      </c>
      <c r="P34" t="s">
        <v>20</v>
      </c>
      <c r="Q34">
        <v>127071.66</v>
      </c>
    </row>
    <row r="35" spans="1:17" x14ac:dyDescent="0.3">
      <c r="A35">
        <v>1049</v>
      </c>
      <c r="B35" t="s">
        <v>16</v>
      </c>
      <c r="C35">
        <v>96227178</v>
      </c>
      <c r="D35">
        <v>9</v>
      </c>
      <c r="E35" t="str">
        <f t="shared" si="2"/>
        <v>6227178</v>
      </c>
      <c r="F35" t="s">
        <v>59</v>
      </c>
      <c r="G35" t="s">
        <v>17</v>
      </c>
      <c r="H35">
        <v>20250717432</v>
      </c>
      <c r="I35" t="s">
        <v>19</v>
      </c>
      <c r="J35" s="4">
        <v>-252189.28</v>
      </c>
      <c r="K35" s="4">
        <v>-47915.96</v>
      </c>
      <c r="L35" s="4">
        <v>47915.96</v>
      </c>
      <c r="M35" s="4">
        <v>0</v>
      </c>
      <c r="N35" s="4">
        <f t="shared" si="3"/>
        <v>47915.96</v>
      </c>
      <c r="O35" s="1">
        <v>46098</v>
      </c>
      <c r="P35" t="s">
        <v>20</v>
      </c>
      <c r="Q35">
        <v>429622.44</v>
      </c>
    </row>
    <row r="36" spans="1:17" x14ac:dyDescent="0.3">
      <c r="A36">
        <v>1049</v>
      </c>
      <c r="B36" t="s">
        <v>16</v>
      </c>
      <c r="C36">
        <v>96235343</v>
      </c>
      <c r="D36">
        <v>15</v>
      </c>
      <c r="E36" t="str">
        <f t="shared" si="2"/>
        <v>6235343</v>
      </c>
      <c r="F36" t="s">
        <v>60</v>
      </c>
      <c r="G36" t="s">
        <v>17</v>
      </c>
      <c r="H36">
        <v>95206982490</v>
      </c>
      <c r="I36" t="s">
        <v>19</v>
      </c>
      <c r="J36" s="4">
        <v>-332568.78999999998</v>
      </c>
      <c r="K36" s="4">
        <v>-69839.45</v>
      </c>
      <c r="L36" s="4">
        <v>69839.45</v>
      </c>
      <c r="M36" s="4">
        <v>0</v>
      </c>
      <c r="N36" s="4">
        <f t="shared" si="3"/>
        <v>69839.45</v>
      </c>
      <c r="O36" s="1">
        <v>46098</v>
      </c>
      <c r="P36" t="s">
        <v>20</v>
      </c>
      <c r="Q36">
        <v>551694.24</v>
      </c>
    </row>
    <row r="37" spans="1:17" x14ac:dyDescent="0.3">
      <c r="A37">
        <v>1049</v>
      </c>
      <c r="B37" t="s">
        <v>16</v>
      </c>
      <c r="C37">
        <v>96239996</v>
      </c>
      <c r="D37">
        <v>8</v>
      </c>
      <c r="E37" t="str">
        <f t="shared" si="2"/>
        <v>6239996</v>
      </c>
      <c r="F37" t="s">
        <v>61</v>
      </c>
      <c r="G37" t="s">
        <v>17</v>
      </c>
      <c r="H37">
        <v>95120794940</v>
      </c>
      <c r="I37" t="s">
        <v>19</v>
      </c>
      <c r="J37" s="4">
        <v>-51864.78</v>
      </c>
      <c r="K37" s="4">
        <v>-8817</v>
      </c>
      <c r="L37" s="4">
        <v>8817</v>
      </c>
      <c r="M37" s="4">
        <v>0</v>
      </c>
      <c r="N37" s="4">
        <f t="shared" si="3"/>
        <v>8817</v>
      </c>
      <c r="O37" s="1">
        <v>46098</v>
      </c>
      <c r="P37" t="s">
        <v>20</v>
      </c>
      <c r="Q37">
        <v>89915.08</v>
      </c>
    </row>
    <row r="38" spans="1:17" x14ac:dyDescent="0.3">
      <c r="A38">
        <v>1049</v>
      </c>
      <c r="B38" t="s">
        <v>16</v>
      </c>
      <c r="C38">
        <v>96242302</v>
      </c>
      <c r="D38">
        <v>8</v>
      </c>
      <c r="E38" t="str">
        <f t="shared" si="2"/>
        <v>6242302</v>
      </c>
      <c r="F38" t="s">
        <v>62</v>
      </c>
      <c r="G38" t="s">
        <v>17</v>
      </c>
      <c r="H38">
        <v>95273236520</v>
      </c>
      <c r="I38" t="s">
        <v>19</v>
      </c>
      <c r="J38" s="4">
        <v>-181156.66</v>
      </c>
      <c r="K38" s="4">
        <v>-34419.760000000002</v>
      </c>
      <c r="L38" s="4">
        <v>34419.760000000002</v>
      </c>
      <c r="M38" s="4">
        <v>0</v>
      </c>
      <c r="N38" s="4">
        <f t="shared" si="3"/>
        <v>34419.760000000002</v>
      </c>
      <c r="O38" s="1">
        <v>46098</v>
      </c>
      <c r="P38" t="s">
        <v>20</v>
      </c>
      <c r="Q38">
        <v>296616.84999999998</v>
      </c>
    </row>
    <row r="39" spans="1:17" x14ac:dyDescent="0.3">
      <c r="A39">
        <v>1049</v>
      </c>
      <c r="B39" t="s">
        <v>16</v>
      </c>
      <c r="C39">
        <v>96248771</v>
      </c>
      <c r="D39">
        <v>8</v>
      </c>
      <c r="E39" t="str">
        <f t="shared" si="2"/>
        <v>6248771</v>
      </c>
      <c r="F39" t="s">
        <v>74</v>
      </c>
      <c r="G39" t="s">
        <v>17</v>
      </c>
      <c r="H39">
        <v>95135658250</v>
      </c>
      <c r="I39" t="s">
        <v>19</v>
      </c>
      <c r="J39" s="4">
        <v>-135314</v>
      </c>
      <c r="K39" s="4">
        <v>-6765.71</v>
      </c>
      <c r="L39" s="4">
        <v>6765.71</v>
      </c>
      <c r="M39" s="4">
        <v>0</v>
      </c>
      <c r="N39" s="4">
        <f t="shared" si="3"/>
        <v>6765.71</v>
      </c>
      <c r="O39" s="1">
        <v>46105</v>
      </c>
      <c r="P39" t="s">
        <v>20</v>
      </c>
      <c r="Q39">
        <v>199027.45</v>
      </c>
    </row>
    <row r="40" spans="1:17" x14ac:dyDescent="0.3">
      <c r="A40">
        <v>1049</v>
      </c>
      <c r="B40" t="s">
        <v>16</v>
      </c>
      <c r="C40">
        <v>96271950</v>
      </c>
      <c r="D40">
        <v>7</v>
      </c>
      <c r="E40" t="str">
        <f t="shared" si="2"/>
        <v>6271950</v>
      </c>
      <c r="F40" t="s">
        <v>41</v>
      </c>
      <c r="G40" t="s">
        <v>17</v>
      </c>
      <c r="H40">
        <v>27187622439</v>
      </c>
      <c r="I40" t="s">
        <v>19</v>
      </c>
      <c r="J40" s="4">
        <v>-83892.84</v>
      </c>
      <c r="K40" s="4">
        <v>-17617.490000000002</v>
      </c>
      <c r="L40" s="4">
        <v>17617.490000000002</v>
      </c>
      <c r="M40" s="4">
        <v>0</v>
      </c>
      <c r="N40" s="4">
        <f t="shared" si="3"/>
        <v>17617.490000000002</v>
      </c>
      <c r="O40" s="1">
        <v>46091</v>
      </c>
      <c r="P40" t="s">
        <v>20</v>
      </c>
      <c r="Q40">
        <v>145137.31</v>
      </c>
    </row>
    <row r="41" spans="1:17" x14ac:dyDescent="0.3">
      <c r="A41">
        <v>1049</v>
      </c>
      <c r="B41" t="s">
        <v>16</v>
      </c>
      <c r="C41">
        <v>96273497</v>
      </c>
      <c r="D41">
        <v>1</v>
      </c>
      <c r="E41" t="str">
        <f t="shared" si="2"/>
        <v>6273497</v>
      </c>
      <c r="F41" t="s">
        <v>18</v>
      </c>
      <c r="G41" t="s">
        <v>17</v>
      </c>
      <c r="H41">
        <v>95143161010</v>
      </c>
      <c r="I41" t="s">
        <v>19</v>
      </c>
      <c r="J41" s="4">
        <v>-10349.959999999999</v>
      </c>
      <c r="K41" s="4">
        <v>-12136.27</v>
      </c>
      <c r="L41" s="4">
        <v>12136.27</v>
      </c>
      <c r="M41" s="4">
        <v>0</v>
      </c>
      <c r="N41" s="4">
        <f t="shared" si="3"/>
        <v>12136.27</v>
      </c>
      <c r="O41" s="1">
        <v>46083</v>
      </c>
      <c r="P41" t="s">
        <v>20</v>
      </c>
      <c r="Q41">
        <v>539231.05000000005</v>
      </c>
    </row>
    <row r="42" spans="1:17" x14ac:dyDescent="0.3">
      <c r="A42">
        <v>1049</v>
      </c>
      <c r="B42" t="s">
        <v>16</v>
      </c>
      <c r="C42">
        <v>96273497</v>
      </c>
      <c r="D42">
        <v>1</v>
      </c>
      <c r="E42" t="str">
        <f t="shared" si="2"/>
        <v>6273497</v>
      </c>
      <c r="F42" t="s">
        <v>18</v>
      </c>
      <c r="G42" t="s">
        <v>17</v>
      </c>
      <c r="H42">
        <v>95143161010</v>
      </c>
      <c r="I42" t="s">
        <v>19</v>
      </c>
      <c r="J42" s="4">
        <v>-66368.45</v>
      </c>
      <c r="K42" s="4">
        <v>-12136.27</v>
      </c>
      <c r="L42" s="4">
        <v>12136.27</v>
      </c>
      <c r="M42" s="4">
        <v>0</v>
      </c>
      <c r="N42" s="4">
        <f t="shared" si="3"/>
        <v>12136.27</v>
      </c>
      <c r="O42" s="1">
        <v>46107</v>
      </c>
      <c r="P42" t="s">
        <v>20</v>
      </c>
      <c r="Q42">
        <v>539231.05000000005</v>
      </c>
    </row>
    <row r="43" spans="1:17" x14ac:dyDescent="0.3">
      <c r="A43">
        <v>1049</v>
      </c>
      <c r="B43" t="s">
        <v>16</v>
      </c>
      <c r="C43">
        <v>96275152</v>
      </c>
      <c r="D43">
        <v>7</v>
      </c>
      <c r="E43" t="str">
        <f t="shared" si="2"/>
        <v>6275152</v>
      </c>
      <c r="F43" t="s">
        <v>26</v>
      </c>
      <c r="G43" t="s">
        <v>17</v>
      </c>
      <c r="H43">
        <v>95172014250</v>
      </c>
      <c r="I43" t="s">
        <v>19</v>
      </c>
      <c r="J43" s="4">
        <v>-158211.48000000001</v>
      </c>
      <c r="K43" s="4">
        <v>-22149.64</v>
      </c>
      <c r="L43" s="4">
        <v>22149.64</v>
      </c>
      <c r="M43" s="4">
        <v>0</v>
      </c>
      <c r="N43" s="4">
        <f t="shared" si="3"/>
        <v>22149.64</v>
      </c>
      <c r="O43" s="1">
        <v>46084</v>
      </c>
      <c r="P43" t="s">
        <v>20</v>
      </c>
      <c r="Q43">
        <v>257865.5</v>
      </c>
    </row>
    <row r="44" spans="1:17" x14ac:dyDescent="0.3">
      <c r="A44">
        <v>1049</v>
      </c>
      <c r="B44" t="s">
        <v>16</v>
      </c>
      <c r="C44">
        <v>96279163</v>
      </c>
      <c r="D44">
        <v>7</v>
      </c>
      <c r="E44" t="str">
        <f t="shared" si="2"/>
        <v>6279163</v>
      </c>
      <c r="F44" t="s">
        <v>42</v>
      </c>
      <c r="G44" t="s">
        <v>17</v>
      </c>
      <c r="H44">
        <v>95170304140</v>
      </c>
      <c r="I44" t="s">
        <v>19</v>
      </c>
      <c r="J44" s="4">
        <v>-131028.45</v>
      </c>
      <c r="K44" s="4">
        <v>-24895.37</v>
      </c>
      <c r="L44" s="4">
        <v>24895.37</v>
      </c>
      <c r="M44" s="4">
        <v>0</v>
      </c>
      <c r="N44" s="4">
        <f t="shared" si="3"/>
        <v>24895.37</v>
      </c>
      <c r="O44" s="1">
        <v>46091</v>
      </c>
      <c r="P44" t="s">
        <v>20</v>
      </c>
      <c r="Q44">
        <v>217478.08</v>
      </c>
    </row>
    <row r="45" spans="1:17" x14ac:dyDescent="0.3">
      <c r="A45">
        <v>1049</v>
      </c>
      <c r="B45" t="s">
        <v>16</v>
      </c>
      <c r="C45">
        <v>96279486</v>
      </c>
      <c r="D45">
        <v>6</v>
      </c>
      <c r="E45" t="str">
        <f t="shared" si="2"/>
        <v>6279486</v>
      </c>
      <c r="F45" t="s">
        <v>71</v>
      </c>
      <c r="G45" t="s">
        <v>17</v>
      </c>
      <c r="H45">
        <v>95937004000</v>
      </c>
      <c r="I45" t="s">
        <v>19</v>
      </c>
      <c r="J45" s="4">
        <v>-50404.29</v>
      </c>
      <c r="K45" s="4">
        <v>-7056.62</v>
      </c>
      <c r="L45" s="4">
        <v>7056.62</v>
      </c>
      <c r="M45" s="4">
        <v>0</v>
      </c>
      <c r="N45" s="4">
        <f t="shared" si="3"/>
        <v>7056.62</v>
      </c>
      <c r="O45" s="1">
        <v>46099</v>
      </c>
      <c r="P45" t="s">
        <v>20</v>
      </c>
      <c r="Q45">
        <v>92577.3</v>
      </c>
    </row>
    <row r="46" spans="1:17" x14ac:dyDescent="0.3">
      <c r="A46">
        <v>1049</v>
      </c>
      <c r="B46" t="s">
        <v>16</v>
      </c>
      <c r="C46">
        <v>96292389</v>
      </c>
      <c r="D46">
        <v>7</v>
      </c>
      <c r="E46" t="str">
        <f t="shared" si="2"/>
        <v>6292389</v>
      </c>
      <c r="F46" t="s">
        <v>43</v>
      </c>
      <c r="G46" t="s">
        <v>17</v>
      </c>
      <c r="H46">
        <v>95162870630</v>
      </c>
      <c r="I46" t="s">
        <v>19</v>
      </c>
      <c r="J46" s="4">
        <v>-109523.87</v>
      </c>
      <c r="K46" s="4">
        <v>-10952.39</v>
      </c>
      <c r="L46" s="4">
        <v>10952.39</v>
      </c>
      <c r="M46" s="4">
        <v>0</v>
      </c>
      <c r="N46" s="4">
        <f t="shared" si="3"/>
        <v>10952.39</v>
      </c>
      <c r="O46" s="1">
        <v>46091</v>
      </c>
      <c r="P46" t="s">
        <v>20</v>
      </c>
      <c r="Q46">
        <v>170278.25</v>
      </c>
    </row>
    <row r="47" spans="1:17" x14ac:dyDescent="0.3">
      <c r="A47">
        <v>1049</v>
      </c>
      <c r="B47" t="s">
        <v>16</v>
      </c>
      <c r="C47">
        <v>96297751</v>
      </c>
      <c r="D47">
        <v>5</v>
      </c>
      <c r="E47" t="str">
        <f t="shared" si="2"/>
        <v>6297751</v>
      </c>
      <c r="F47" t="s">
        <v>44</v>
      </c>
      <c r="G47" t="s">
        <v>17</v>
      </c>
      <c r="H47">
        <v>95327374620</v>
      </c>
      <c r="I47" t="s">
        <v>19</v>
      </c>
      <c r="J47" s="4">
        <v>-47222.42</v>
      </c>
      <c r="K47" s="4">
        <v>-8972.27</v>
      </c>
      <c r="L47" s="4">
        <v>8972.27</v>
      </c>
      <c r="M47" s="4">
        <v>0</v>
      </c>
      <c r="N47" s="4">
        <f t="shared" si="3"/>
        <v>8972.27</v>
      </c>
      <c r="O47" s="1">
        <v>46091</v>
      </c>
      <c r="P47" t="s">
        <v>20</v>
      </c>
      <c r="Q47">
        <v>83532.88</v>
      </c>
    </row>
    <row r="48" spans="1:17" x14ac:dyDescent="0.3">
      <c r="A48">
        <v>1049</v>
      </c>
      <c r="B48" t="s">
        <v>16</v>
      </c>
      <c r="C48">
        <v>96308297</v>
      </c>
      <c r="D48">
        <v>6</v>
      </c>
      <c r="E48" t="str">
        <f t="shared" si="2"/>
        <v>6308297</v>
      </c>
      <c r="F48" t="s">
        <v>72</v>
      </c>
      <c r="G48" t="s">
        <v>17</v>
      </c>
      <c r="H48">
        <v>95321916010</v>
      </c>
      <c r="I48" t="s">
        <v>19</v>
      </c>
      <c r="J48" s="4">
        <v>-120414.83</v>
      </c>
      <c r="K48" s="4">
        <v>-22878.81</v>
      </c>
      <c r="L48" s="4">
        <v>22878.81</v>
      </c>
      <c r="M48" s="4">
        <v>0</v>
      </c>
      <c r="N48" s="4">
        <f t="shared" si="3"/>
        <v>22878.81</v>
      </c>
      <c r="O48" s="1">
        <v>46099</v>
      </c>
      <c r="P48" t="s">
        <v>20</v>
      </c>
      <c r="Q48">
        <v>202059.69</v>
      </c>
    </row>
    <row r="49" spans="1:17" x14ac:dyDescent="0.3">
      <c r="A49">
        <v>1049</v>
      </c>
      <c r="B49" t="s">
        <v>16</v>
      </c>
      <c r="C49">
        <v>96308318</v>
      </c>
      <c r="D49">
        <v>5</v>
      </c>
      <c r="E49" t="str">
        <f t="shared" si="2"/>
        <v>6308318</v>
      </c>
      <c r="F49" t="s">
        <v>27</v>
      </c>
      <c r="G49" t="s">
        <v>17</v>
      </c>
      <c r="H49">
        <v>95121743770</v>
      </c>
      <c r="I49" t="s">
        <v>19</v>
      </c>
      <c r="J49" s="4">
        <v>-134848.56</v>
      </c>
      <c r="K49" s="4">
        <v>-25621.24</v>
      </c>
      <c r="L49" s="4">
        <v>25621.24</v>
      </c>
      <c r="M49" s="4">
        <v>0</v>
      </c>
      <c r="N49" s="4">
        <f t="shared" si="3"/>
        <v>25621.24</v>
      </c>
      <c r="O49" s="1">
        <v>46084</v>
      </c>
      <c r="P49" t="s">
        <v>20</v>
      </c>
      <c r="Q49">
        <v>224676.83</v>
      </c>
    </row>
    <row r="50" spans="1:17" x14ac:dyDescent="0.3">
      <c r="A50">
        <v>1049</v>
      </c>
      <c r="B50" t="s">
        <v>16</v>
      </c>
      <c r="C50">
        <v>96311240</v>
      </c>
      <c r="D50">
        <v>7</v>
      </c>
      <c r="E50" t="str">
        <f t="shared" si="2"/>
        <v>6311240</v>
      </c>
      <c r="F50" t="s">
        <v>75</v>
      </c>
      <c r="G50" t="s">
        <v>17</v>
      </c>
      <c r="H50">
        <v>95058987130</v>
      </c>
      <c r="I50" t="s">
        <v>19</v>
      </c>
      <c r="J50" s="4">
        <v>-124015.13</v>
      </c>
      <c r="K50" s="4">
        <v>-26043.17</v>
      </c>
      <c r="L50" s="4">
        <v>26043.17</v>
      </c>
      <c r="M50" s="4">
        <v>0</v>
      </c>
      <c r="N50" s="4">
        <f t="shared" si="3"/>
        <v>26043.17</v>
      </c>
      <c r="O50" s="1">
        <v>46105</v>
      </c>
      <c r="P50" t="s">
        <v>20</v>
      </c>
      <c r="Q50">
        <v>212265.98</v>
      </c>
    </row>
    <row r="51" spans="1:17" x14ac:dyDescent="0.3">
      <c r="A51">
        <v>1049</v>
      </c>
      <c r="B51" t="s">
        <v>16</v>
      </c>
      <c r="C51">
        <v>96312044</v>
      </c>
      <c r="D51">
        <v>7</v>
      </c>
      <c r="E51" t="str">
        <f t="shared" si="2"/>
        <v>6312044</v>
      </c>
      <c r="F51" t="s">
        <v>76</v>
      </c>
      <c r="G51" t="s">
        <v>17</v>
      </c>
      <c r="H51">
        <v>95233282940</v>
      </c>
      <c r="I51" t="s">
        <v>19</v>
      </c>
      <c r="J51" s="4">
        <v>-63453.24</v>
      </c>
      <c r="K51" s="4">
        <v>-13325.19</v>
      </c>
      <c r="L51" s="4">
        <v>13325.19</v>
      </c>
      <c r="M51" s="4">
        <v>0</v>
      </c>
      <c r="N51" s="4">
        <f t="shared" si="3"/>
        <v>13325.19</v>
      </c>
      <c r="O51" s="1">
        <v>46105</v>
      </c>
      <c r="P51" t="s">
        <v>20</v>
      </c>
      <c r="Q51">
        <v>110482.83</v>
      </c>
    </row>
    <row r="52" spans="1:17" x14ac:dyDescent="0.3">
      <c r="A52">
        <v>1049</v>
      </c>
      <c r="B52" t="s">
        <v>16</v>
      </c>
      <c r="C52">
        <v>96324309</v>
      </c>
      <c r="D52">
        <v>5</v>
      </c>
      <c r="E52" t="str">
        <f t="shared" si="2"/>
        <v>6324309</v>
      </c>
      <c r="F52" t="s">
        <v>63</v>
      </c>
      <c r="G52" t="s">
        <v>17</v>
      </c>
      <c r="H52">
        <v>95116759000</v>
      </c>
      <c r="I52" t="s">
        <v>19</v>
      </c>
      <c r="J52" s="4">
        <v>-68168.649999999994</v>
      </c>
      <c r="K52" s="4">
        <v>-6816.88</v>
      </c>
      <c r="L52" s="4">
        <v>6816.88</v>
      </c>
      <c r="M52" s="4">
        <v>0</v>
      </c>
      <c r="N52" s="4">
        <f t="shared" si="3"/>
        <v>6816.88</v>
      </c>
      <c r="O52" s="1">
        <v>46098</v>
      </c>
      <c r="P52" t="s">
        <v>20</v>
      </c>
      <c r="Q52">
        <v>111933.06</v>
      </c>
    </row>
    <row r="53" spans="1:17" x14ac:dyDescent="0.3">
      <c r="A53">
        <v>1049</v>
      </c>
      <c r="B53" t="s">
        <v>16</v>
      </c>
      <c r="C53">
        <v>96337285</v>
      </c>
      <c r="D53">
        <v>5</v>
      </c>
      <c r="E53" t="str">
        <f t="shared" si="2"/>
        <v>6337285</v>
      </c>
      <c r="F53" t="s">
        <v>45</v>
      </c>
      <c r="G53" t="s">
        <v>17</v>
      </c>
      <c r="H53">
        <v>95266925790</v>
      </c>
      <c r="I53" t="s">
        <v>19</v>
      </c>
      <c r="J53" s="4">
        <v>-126691.76</v>
      </c>
      <c r="K53" s="4">
        <v>-5067.68</v>
      </c>
      <c r="L53" s="4">
        <v>5067.68</v>
      </c>
      <c r="M53" s="4">
        <v>0</v>
      </c>
      <c r="N53" s="4">
        <f t="shared" si="3"/>
        <v>5067.68</v>
      </c>
      <c r="O53" s="1">
        <v>46091</v>
      </c>
      <c r="P53" t="s">
        <v>20</v>
      </c>
      <c r="Q53">
        <v>187431.84</v>
      </c>
    </row>
    <row r="54" spans="1:17" x14ac:dyDescent="0.3">
      <c r="A54">
        <v>1049</v>
      </c>
      <c r="B54" t="s">
        <v>16</v>
      </c>
      <c r="C54">
        <v>260017604</v>
      </c>
      <c r="D54">
        <v>0</v>
      </c>
      <c r="E54">
        <v>17604</v>
      </c>
      <c r="F54" t="s">
        <v>52</v>
      </c>
      <c r="G54" t="s">
        <v>51</v>
      </c>
      <c r="H54">
        <v>30712117431</v>
      </c>
      <c r="I54" t="s">
        <v>19</v>
      </c>
      <c r="J54" s="4">
        <v>-21532.95</v>
      </c>
      <c r="K54" s="4">
        <v>-1760</v>
      </c>
      <c r="L54" s="4">
        <v>1760</v>
      </c>
      <c r="M54" s="4">
        <v>0</v>
      </c>
      <c r="N54" s="4">
        <f t="shared" si="3"/>
        <v>1760</v>
      </c>
      <c r="O54" s="1">
        <v>46091</v>
      </c>
      <c r="P54" t="s">
        <v>20</v>
      </c>
      <c r="Q54">
        <v>307759.73</v>
      </c>
    </row>
    <row r="55" spans="1:17" x14ac:dyDescent="0.3">
      <c r="A55">
        <v>1049</v>
      </c>
      <c r="B55" t="s">
        <v>16</v>
      </c>
      <c r="C55" s="5">
        <v>80002360355</v>
      </c>
      <c r="D55">
        <v>4</v>
      </c>
      <c r="E55" t="str">
        <f t="shared" si="2"/>
        <v>2360355</v>
      </c>
      <c r="F55" t="s">
        <v>56</v>
      </c>
      <c r="G55" t="s">
        <v>35</v>
      </c>
      <c r="H55">
        <v>27178534314</v>
      </c>
      <c r="I55" t="s">
        <v>19</v>
      </c>
      <c r="J55" s="4">
        <v>-19019.16</v>
      </c>
      <c r="K55" s="4">
        <v>-4374.42</v>
      </c>
      <c r="L55" s="4">
        <v>4374.42</v>
      </c>
      <c r="M55" s="4">
        <v>0</v>
      </c>
      <c r="N55" s="4">
        <f t="shared" si="3"/>
        <v>4374.42</v>
      </c>
      <c r="O55" s="1">
        <v>46098</v>
      </c>
      <c r="P55" t="s">
        <v>20</v>
      </c>
      <c r="Q55">
        <v>29719.42</v>
      </c>
    </row>
    <row r="56" spans="1:17" x14ac:dyDescent="0.3">
      <c r="A56">
        <v>1049</v>
      </c>
      <c r="B56" t="s">
        <v>16</v>
      </c>
      <c r="C56" s="5">
        <v>80002377709</v>
      </c>
      <c r="D56">
        <v>1</v>
      </c>
      <c r="E56" t="str">
        <f t="shared" si="2"/>
        <v>2377709</v>
      </c>
      <c r="F56" t="s">
        <v>30</v>
      </c>
      <c r="G56" t="s">
        <v>35</v>
      </c>
      <c r="H56">
        <v>95210597230</v>
      </c>
      <c r="I56" t="s">
        <v>19</v>
      </c>
      <c r="J56" s="4">
        <v>-24921.09</v>
      </c>
      <c r="K56" s="4">
        <v>-6977.91</v>
      </c>
      <c r="L56" s="4">
        <v>6977.91</v>
      </c>
      <c r="M56" s="4">
        <v>0</v>
      </c>
      <c r="N56" s="4">
        <f t="shared" si="3"/>
        <v>6977.91</v>
      </c>
      <c r="O56" s="1">
        <v>46098</v>
      </c>
      <c r="P56" t="s">
        <v>20</v>
      </c>
      <c r="Q56">
        <v>39763.47</v>
      </c>
    </row>
    <row r="57" spans="1:17" x14ac:dyDescent="0.3">
      <c r="A57">
        <v>1049</v>
      </c>
      <c r="B57" t="s">
        <v>16</v>
      </c>
      <c r="C57" s="5">
        <v>90006342876</v>
      </c>
      <c r="D57">
        <v>4</v>
      </c>
      <c r="E57" t="str">
        <f t="shared" si="2"/>
        <v>6342876</v>
      </c>
      <c r="F57" t="s">
        <v>46</v>
      </c>
      <c r="G57" t="s">
        <v>17</v>
      </c>
      <c r="H57">
        <v>95214799200</v>
      </c>
      <c r="I57" t="s">
        <v>19</v>
      </c>
      <c r="J57" s="4">
        <v>-65723.87</v>
      </c>
      <c r="K57" s="4">
        <v>-13802.02</v>
      </c>
      <c r="L57" s="4">
        <v>13802.02</v>
      </c>
      <c r="M57" s="4">
        <v>0</v>
      </c>
      <c r="N57" s="4">
        <f t="shared" si="3"/>
        <v>13802.02</v>
      </c>
      <c r="O57" s="1">
        <v>46091</v>
      </c>
      <c r="P57" t="s">
        <v>20</v>
      </c>
      <c r="Q57">
        <v>114552.26</v>
      </c>
    </row>
    <row r="58" spans="1:17" x14ac:dyDescent="0.3">
      <c r="A58">
        <v>1049</v>
      </c>
      <c r="B58" t="s">
        <v>16</v>
      </c>
      <c r="C58" s="5">
        <v>90006351500</v>
      </c>
      <c r="D58">
        <v>4</v>
      </c>
      <c r="E58" t="str">
        <f t="shared" si="2"/>
        <v>6351500</v>
      </c>
      <c r="F58" t="s">
        <v>47</v>
      </c>
      <c r="G58" t="s">
        <v>17</v>
      </c>
      <c r="H58">
        <v>95042614080</v>
      </c>
      <c r="I58" t="s">
        <v>19</v>
      </c>
      <c r="J58" s="4">
        <v>-57883.8</v>
      </c>
      <c r="K58" s="4">
        <v>-10997.93</v>
      </c>
      <c r="L58" s="4">
        <v>10997.93</v>
      </c>
      <c r="M58" s="4">
        <v>0</v>
      </c>
      <c r="N58" s="4">
        <f t="shared" si="3"/>
        <v>10997.93</v>
      </c>
      <c r="O58" s="1">
        <v>46091</v>
      </c>
      <c r="P58" t="s">
        <v>20</v>
      </c>
      <c r="Q58">
        <v>100400.03</v>
      </c>
    </row>
    <row r="59" spans="1:17" x14ac:dyDescent="0.3">
      <c r="A59">
        <v>1049</v>
      </c>
      <c r="B59" t="s">
        <v>16</v>
      </c>
      <c r="C59" s="5">
        <v>90006401639</v>
      </c>
      <c r="D59">
        <v>2</v>
      </c>
      <c r="E59" t="str">
        <f t="shared" si="2"/>
        <v>6401639</v>
      </c>
      <c r="F59" t="s">
        <v>28</v>
      </c>
      <c r="G59" t="s">
        <v>17</v>
      </c>
      <c r="H59">
        <v>95271950230</v>
      </c>
      <c r="I59" t="s">
        <v>19</v>
      </c>
      <c r="J59" s="4">
        <v>-67118.92</v>
      </c>
      <c r="K59" s="4">
        <v>-11410.22</v>
      </c>
      <c r="L59" s="4">
        <v>11410.22</v>
      </c>
      <c r="M59" s="4">
        <v>0</v>
      </c>
      <c r="N59" s="4">
        <f t="shared" si="3"/>
        <v>11410.22</v>
      </c>
      <c r="O59" s="1">
        <v>46084</v>
      </c>
      <c r="P59" t="s">
        <v>20</v>
      </c>
      <c r="Q59">
        <v>112307.95</v>
      </c>
    </row>
    <row r="60" spans="1:17" x14ac:dyDescent="0.3">
      <c r="A60">
        <v>1049</v>
      </c>
      <c r="B60" t="s">
        <v>16</v>
      </c>
      <c r="C60" s="5">
        <v>90006406841</v>
      </c>
      <c r="D60">
        <v>1</v>
      </c>
      <c r="E60" t="str">
        <f t="shared" si="2"/>
        <v>6406841</v>
      </c>
      <c r="F60" t="s">
        <v>48</v>
      </c>
      <c r="G60" t="s">
        <v>17</v>
      </c>
      <c r="H60">
        <v>95253854000</v>
      </c>
      <c r="I60" t="s">
        <v>19</v>
      </c>
      <c r="J60" s="4">
        <v>-147399.97</v>
      </c>
      <c r="K60" s="4">
        <v>-28005.99</v>
      </c>
      <c r="L60" s="4">
        <v>28005.99</v>
      </c>
      <c r="M60" s="4">
        <v>0</v>
      </c>
      <c r="N60" s="4">
        <f t="shared" si="3"/>
        <v>28005.99</v>
      </c>
      <c r="O60" s="1">
        <v>46091</v>
      </c>
      <c r="P60" t="s">
        <v>20</v>
      </c>
      <c r="Q60">
        <v>244051.76</v>
      </c>
    </row>
    <row r="61" spans="1:17" x14ac:dyDescent="0.3">
      <c r="A61">
        <v>1049</v>
      </c>
      <c r="B61" t="s">
        <v>16</v>
      </c>
      <c r="C61" s="5">
        <v>90006409887</v>
      </c>
      <c r="D61">
        <v>2</v>
      </c>
      <c r="E61" t="str">
        <f t="shared" si="2"/>
        <v>6409887</v>
      </c>
      <c r="F61" t="s">
        <v>64</v>
      </c>
      <c r="G61" t="s">
        <v>17</v>
      </c>
      <c r="H61">
        <v>95105648580</v>
      </c>
      <c r="I61" t="s">
        <v>19</v>
      </c>
      <c r="J61" s="4">
        <v>-35539.54</v>
      </c>
      <c r="K61" s="4">
        <v>-6041.71</v>
      </c>
      <c r="L61" s="4">
        <v>6041.71</v>
      </c>
      <c r="M61" s="4">
        <v>0</v>
      </c>
      <c r="N61" s="4">
        <f t="shared" si="3"/>
        <v>6041.71</v>
      </c>
      <c r="O61" s="1">
        <v>46098</v>
      </c>
      <c r="P61" t="s">
        <v>20</v>
      </c>
      <c r="Q61">
        <v>65345.4</v>
      </c>
    </row>
    <row r="62" spans="1:17" x14ac:dyDescent="0.3">
      <c r="A62">
        <v>1049</v>
      </c>
      <c r="B62" t="s">
        <v>16</v>
      </c>
      <c r="C62" s="5">
        <v>90006412421</v>
      </c>
      <c r="D62">
        <v>1</v>
      </c>
      <c r="E62" t="str">
        <f t="shared" si="2"/>
        <v>6412421</v>
      </c>
      <c r="F62" t="s">
        <v>29</v>
      </c>
      <c r="G62" t="s">
        <v>17</v>
      </c>
      <c r="H62">
        <v>95209886230</v>
      </c>
      <c r="I62" t="s">
        <v>19</v>
      </c>
      <c r="J62" s="4">
        <v>-42130.77</v>
      </c>
      <c r="K62" s="4">
        <v>-7162.24</v>
      </c>
      <c r="L62" s="4">
        <v>7162.24</v>
      </c>
      <c r="M62" s="4">
        <v>0</v>
      </c>
      <c r="N62" s="4">
        <f t="shared" si="3"/>
        <v>7162.24</v>
      </c>
      <c r="O62" s="1">
        <v>46084</v>
      </c>
      <c r="P62" t="s">
        <v>20</v>
      </c>
      <c r="Q62">
        <v>74700.509999999995</v>
      </c>
    </row>
    <row r="63" spans="1:17" x14ac:dyDescent="0.3">
      <c r="A63">
        <v>1049</v>
      </c>
      <c r="B63" t="s">
        <v>16</v>
      </c>
      <c r="C63" s="5">
        <v>90006415252</v>
      </c>
      <c r="D63">
        <v>1</v>
      </c>
      <c r="E63" t="str">
        <f t="shared" si="2"/>
        <v>6415252</v>
      </c>
      <c r="F63" t="s">
        <v>30</v>
      </c>
      <c r="G63" t="s">
        <v>17</v>
      </c>
      <c r="H63">
        <v>95210597230</v>
      </c>
      <c r="I63" t="s">
        <v>19</v>
      </c>
      <c r="J63" s="4">
        <v>-123264.82</v>
      </c>
      <c r="K63" s="4">
        <v>-27118.25</v>
      </c>
      <c r="L63" s="4">
        <v>27118.25</v>
      </c>
      <c r="M63" s="4">
        <v>0</v>
      </c>
      <c r="N63" s="4">
        <f t="shared" si="3"/>
        <v>27118.25</v>
      </c>
      <c r="O63" s="1">
        <v>46084</v>
      </c>
      <c r="P63" t="s">
        <v>20</v>
      </c>
      <c r="Q63">
        <v>209346.32</v>
      </c>
    </row>
    <row r="64" spans="1:17" x14ac:dyDescent="0.3">
      <c r="A64">
        <v>1049</v>
      </c>
      <c r="B64" t="s">
        <v>16</v>
      </c>
      <c r="C64" s="5">
        <v>90006430634</v>
      </c>
      <c r="D64">
        <v>1</v>
      </c>
      <c r="E64" t="str">
        <f t="shared" si="2"/>
        <v>6430634</v>
      </c>
      <c r="F64" t="s">
        <v>31</v>
      </c>
      <c r="G64" t="s">
        <v>17</v>
      </c>
      <c r="H64">
        <v>95184892470</v>
      </c>
      <c r="I64" t="s">
        <v>19</v>
      </c>
      <c r="J64" s="4">
        <v>-130530.87</v>
      </c>
      <c r="K64" s="4">
        <v>-27411.49</v>
      </c>
      <c r="L64" s="4">
        <v>27411.49</v>
      </c>
      <c r="M64" s="4">
        <v>0</v>
      </c>
      <c r="N64" s="4">
        <f t="shared" si="3"/>
        <v>27411.49</v>
      </c>
      <c r="O64" s="1">
        <v>46084</v>
      </c>
      <c r="P64" t="s">
        <v>20</v>
      </c>
      <c r="Q64">
        <v>216262.34</v>
      </c>
    </row>
    <row r="65" spans="1:17" x14ac:dyDescent="0.3">
      <c r="A65">
        <v>1049</v>
      </c>
      <c r="B65" t="s">
        <v>16</v>
      </c>
      <c r="C65" s="5">
        <v>90006437063</v>
      </c>
      <c r="D65">
        <v>0</v>
      </c>
      <c r="E65" t="str">
        <f t="shared" si="2"/>
        <v>6437063</v>
      </c>
      <c r="F65" t="s">
        <v>32</v>
      </c>
      <c r="G65" t="s">
        <v>17</v>
      </c>
      <c r="H65">
        <v>95206199570</v>
      </c>
      <c r="I65" t="s">
        <v>19</v>
      </c>
      <c r="J65" s="4">
        <v>-108999.05</v>
      </c>
      <c r="K65" s="4">
        <v>-26159.8</v>
      </c>
      <c r="L65" s="4">
        <v>26159.8</v>
      </c>
      <c r="M65" s="4">
        <v>0</v>
      </c>
      <c r="N65" s="4">
        <f t="shared" si="3"/>
        <v>26159.8</v>
      </c>
      <c r="O65" s="1">
        <v>46084</v>
      </c>
      <c r="P65" t="s">
        <v>20</v>
      </c>
      <c r="Q65">
        <v>193896.48</v>
      </c>
    </row>
    <row r="66" spans="1:17" x14ac:dyDescent="0.3">
      <c r="A66">
        <v>1049</v>
      </c>
      <c r="B66" t="s">
        <v>16</v>
      </c>
      <c r="C66" s="5">
        <v>90006439645</v>
      </c>
      <c r="D66">
        <v>0</v>
      </c>
      <c r="E66" t="str">
        <f t="shared" si="2"/>
        <v>6439645</v>
      </c>
      <c r="F66" t="s">
        <v>49</v>
      </c>
      <c r="G66" t="s">
        <v>17</v>
      </c>
      <c r="H66">
        <v>20172029281</v>
      </c>
      <c r="I66" t="s">
        <v>19</v>
      </c>
      <c r="J66" s="4">
        <v>-83258.87</v>
      </c>
      <c r="K66" s="4">
        <v>-15819.19</v>
      </c>
      <c r="L66" s="4">
        <v>15819.19</v>
      </c>
      <c r="M66" s="4">
        <v>0</v>
      </c>
      <c r="N66" s="4">
        <f t="shared" ref="N66:N97" si="4">L66+M66</f>
        <v>15819.19</v>
      </c>
      <c r="O66" s="1">
        <v>46091</v>
      </c>
      <c r="P66" t="s">
        <v>20</v>
      </c>
      <c r="Q66">
        <v>153205.47</v>
      </c>
    </row>
    <row r="67" spans="1:17" x14ac:dyDescent="0.3">
      <c r="A67">
        <v>1049</v>
      </c>
      <c r="B67" t="s">
        <v>16</v>
      </c>
      <c r="C67" s="5">
        <v>90006439648</v>
      </c>
      <c r="D67">
        <v>0</v>
      </c>
      <c r="E67" t="str">
        <f t="shared" si="2"/>
        <v>6439648</v>
      </c>
      <c r="F67" t="s">
        <v>41</v>
      </c>
      <c r="G67" t="s">
        <v>17</v>
      </c>
      <c r="H67">
        <v>27187622439</v>
      </c>
      <c r="I67" t="s">
        <v>19</v>
      </c>
      <c r="J67" s="4">
        <v>-74177.710000000006</v>
      </c>
      <c r="K67" s="4">
        <v>-10384.86</v>
      </c>
      <c r="L67" s="4">
        <v>10384.86</v>
      </c>
      <c r="M67" s="4">
        <v>0</v>
      </c>
      <c r="N67" s="4">
        <f t="shared" si="4"/>
        <v>10384.86</v>
      </c>
      <c r="O67" s="1">
        <v>46091</v>
      </c>
      <c r="P67" t="s">
        <v>20</v>
      </c>
      <c r="Q67">
        <v>123116.61</v>
      </c>
    </row>
    <row r="68" spans="1:17" x14ac:dyDescent="0.3">
      <c r="A68">
        <v>1049</v>
      </c>
      <c r="B68" t="s">
        <v>16</v>
      </c>
      <c r="C68" s="5">
        <v>90006441159</v>
      </c>
      <c r="D68">
        <v>0</v>
      </c>
      <c r="E68" t="str">
        <f t="shared" si="2"/>
        <v>6441159</v>
      </c>
      <c r="F68" t="s">
        <v>65</v>
      </c>
      <c r="G68" t="s">
        <v>17</v>
      </c>
      <c r="H68">
        <v>95120855920</v>
      </c>
      <c r="I68" t="s">
        <v>19</v>
      </c>
      <c r="J68" s="4">
        <v>-112342.11</v>
      </c>
      <c r="K68" s="4">
        <v>-21345.01</v>
      </c>
      <c r="L68" s="4">
        <v>21345.01</v>
      </c>
      <c r="M68" s="4">
        <v>0</v>
      </c>
      <c r="N68" s="4">
        <f t="shared" si="4"/>
        <v>21345.01</v>
      </c>
      <c r="O68" s="1">
        <v>46098</v>
      </c>
      <c r="P68" t="s">
        <v>20</v>
      </c>
      <c r="Q68">
        <v>188082.51</v>
      </c>
    </row>
    <row r="69" spans="1:17" x14ac:dyDescent="0.3">
      <c r="A69">
        <v>1049</v>
      </c>
      <c r="B69" t="s">
        <v>16</v>
      </c>
      <c r="C69" s="5">
        <v>90006441375</v>
      </c>
      <c r="D69">
        <v>0</v>
      </c>
      <c r="E69" t="str">
        <f t="shared" si="2"/>
        <v>6441375</v>
      </c>
      <c r="F69" t="s">
        <v>66</v>
      </c>
      <c r="G69" t="s">
        <v>17</v>
      </c>
      <c r="H69">
        <v>95160378250</v>
      </c>
      <c r="I69" t="s">
        <v>19</v>
      </c>
      <c r="J69" s="4">
        <v>-164517.82</v>
      </c>
      <c r="K69" s="4">
        <v>-31998.71</v>
      </c>
      <c r="L69" s="4">
        <v>31998.71</v>
      </c>
      <c r="M69" s="4">
        <v>0</v>
      </c>
      <c r="N69" s="4">
        <f t="shared" si="4"/>
        <v>31998.71</v>
      </c>
      <c r="O69" s="1">
        <v>46098</v>
      </c>
      <c r="P69" t="s">
        <v>20</v>
      </c>
      <c r="Q69">
        <v>267893.17</v>
      </c>
    </row>
    <row r="70" spans="1:17" x14ac:dyDescent="0.3">
      <c r="A70">
        <v>1049</v>
      </c>
      <c r="B70" t="s">
        <v>16</v>
      </c>
      <c r="C70" s="5">
        <v>90006442255</v>
      </c>
      <c r="D70">
        <v>0</v>
      </c>
      <c r="E70" t="str">
        <f t="shared" si="2"/>
        <v>6442255</v>
      </c>
      <c r="F70" t="s">
        <v>67</v>
      </c>
      <c r="G70" t="s">
        <v>17</v>
      </c>
      <c r="H70">
        <v>95310971670</v>
      </c>
      <c r="I70" t="s">
        <v>19</v>
      </c>
      <c r="J70" s="4">
        <v>-220477.94</v>
      </c>
      <c r="K70" s="4">
        <v>-41890.83</v>
      </c>
      <c r="L70" s="4">
        <v>41890.83</v>
      </c>
      <c r="M70" s="4">
        <v>0</v>
      </c>
      <c r="N70" s="4">
        <f t="shared" si="4"/>
        <v>41890.83</v>
      </c>
      <c r="O70" s="1">
        <v>46098</v>
      </c>
      <c r="P70" t="s">
        <v>20</v>
      </c>
      <c r="Q70">
        <v>359301.52</v>
      </c>
    </row>
    <row r="71" spans="1:17" x14ac:dyDescent="0.3">
      <c r="A71">
        <v>1049</v>
      </c>
      <c r="B71" t="s">
        <v>16</v>
      </c>
      <c r="C71" s="5">
        <v>90006454845</v>
      </c>
      <c r="D71">
        <v>0</v>
      </c>
      <c r="E71" t="str">
        <f t="shared" si="2"/>
        <v>6454845</v>
      </c>
      <c r="F71" t="s">
        <v>50</v>
      </c>
      <c r="G71" t="s">
        <v>17</v>
      </c>
      <c r="H71">
        <v>20162261844</v>
      </c>
      <c r="I71" t="s">
        <v>19</v>
      </c>
      <c r="J71" s="4">
        <v>-68237.539999999994</v>
      </c>
      <c r="K71" s="4">
        <v>-14329.91</v>
      </c>
      <c r="L71" s="4">
        <v>14329.91</v>
      </c>
      <c r="M71" s="4">
        <v>0</v>
      </c>
      <c r="N71" s="4">
        <f t="shared" si="4"/>
        <v>14329.91</v>
      </c>
      <c r="O71" s="1">
        <v>46091</v>
      </c>
      <c r="P71" t="s">
        <v>20</v>
      </c>
      <c r="Q71">
        <v>122116.99</v>
      </c>
    </row>
    <row r="72" spans="1:17" x14ac:dyDescent="0.3">
      <c r="A72">
        <v>1049</v>
      </c>
      <c r="B72" t="s">
        <v>16</v>
      </c>
      <c r="C72" s="5">
        <v>90006461454</v>
      </c>
      <c r="D72">
        <v>0</v>
      </c>
      <c r="E72" t="str">
        <f t="shared" si="2"/>
        <v>6461454</v>
      </c>
      <c r="F72" t="s">
        <v>26</v>
      </c>
      <c r="G72" t="s">
        <v>17</v>
      </c>
      <c r="H72">
        <v>95172014250</v>
      </c>
      <c r="I72" t="s">
        <v>19</v>
      </c>
      <c r="J72" s="4">
        <v>-309047.58</v>
      </c>
      <c r="K72" s="4">
        <v>-74171.41</v>
      </c>
      <c r="L72" s="4">
        <v>74171.41</v>
      </c>
      <c r="M72" s="4">
        <v>0</v>
      </c>
      <c r="N72" s="4">
        <f t="shared" si="4"/>
        <v>74171.41</v>
      </c>
      <c r="O72" s="1">
        <v>46098</v>
      </c>
      <c r="P72" t="s">
        <v>20</v>
      </c>
      <c r="Q72">
        <v>526312.99</v>
      </c>
    </row>
    <row r="73" spans="1:17" x14ac:dyDescent="0.3">
      <c r="A73">
        <v>1049</v>
      </c>
      <c r="B73" t="s">
        <v>16</v>
      </c>
      <c r="C73" s="5">
        <v>90006463054</v>
      </c>
      <c r="D73">
        <v>0</v>
      </c>
      <c r="E73" t="str">
        <f t="shared" si="2"/>
        <v>6463054</v>
      </c>
      <c r="F73" t="s">
        <v>68</v>
      </c>
      <c r="G73" t="s">
        <v>17</v>
      </c>
      <c r="H73">
        <v>95149573340</v>
      </c>
      <c r="I73" t="s">
        <v>19</v>
      </c>
      <c r="J73" s="4">
        <v>-167356.26</v>
      </c>
      <c r="K73" s="4">
        <v>-31797.69</v>
      </c>
      <c r="L73" s="4">
        <v>31797.69</v>
      </c>
      <c r="M73" s="4">
        <v>0</v>
      </c>
      <c r="N73" s="4">
        <f t="shared" si="4"/>
        <v>31797.69</v>
      </c>
      <c r="O73" s="1">
        <v>46098</v>
      </c>
      <c r="P73" t="s">
        <v>20</v>
      </c>
      <c r="Q73">
        <v>273046.96999999997</v>
      </c>
    </row>
    <row r="74" spans="1:17" x14ac:dyDescent="0.3">
      <c r="A74">
        <v>1049</v>
      </c>
      <c r="B74" t="s">
        <v>16</v>
      </c>
      <c r="C74" s="5">
        <v>90006482288</v>
      </c>
      <c r="D74">
        <v>0</v>
      </c>
      <c r="E74" t="str">
        <f t="shared" si="2"/>
        <v>6482288</v>
      </c>
      <c r="F74" t="s">
        <v>69</v>
      </c>
      <c r="G74" t="s">
        <v>17</v>
      </c>
      <c r="H74">
        <v>95124932650</v>
      </c>
      <c r="I74" t="s">
        <v>19</v>
      </c>
      <c r="J74" s="4">
        <v>-94682.39</v>
      </c>
      <c r="K74" s="4">
        <v>-16096.01</v>
      </c>
      <c r="L74" s="4">
        <v>16096.01</v>
      </c>
      <c r="M74" s="4">
        <v>0</v>
      </c>
      <c r="N74" s="4">
        <f t="shared" si="4"/>
        <v>16096.01</v>
      </c>
      <c r="O74" s="1">
        <v>46098</v>
      </c>
      <c r="P74" t="s">
        <v>20</v>
      </c>
      <c r="Q74">
        <v>161102.37</v>
      </c>
    </row>
  </sheetData>
  <autoFilter ref="A1:Q1" xr:uid="{A5AE856A-0981-4D55-A9D2-73C99D4EF669}"/>
  <sortState xmlns:xlrd2="http://schemas.microsoft.com/office/spreadsheetml/2017/richdata2" ref="A2:Q74">
    <sortCondition ref="C2:C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Juan Pablo Peci</cp:lastModifiedBy>
  <dcterms:created xsi:type="dcterms:W3CDTF">2026-04-08T15:21:01Z</dcterms:created>
  <dcterms:modified xsi:type="dcterms:W3CDTF">2026-04-18T17:11:57Z</dcterms:modified>
</cp:coreProperties>
</file>